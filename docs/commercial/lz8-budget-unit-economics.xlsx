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8d2bfe241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Қорытынды" sheetId="1" r:id="R23d84dd7a7b1454a"/>
    <x:sheet xmlns:r="http://schemas.openxmlformats.org/officeDocument/2006/relationships" name="Болжамдар" sheetId="2" r:id="Re51d9d64930c4b3c"/>
    <x:sheet xmlns:r="http://schemas.openxmlformats.org/officeDocument/2006/relationships" name="Бюджет" sheetId="3" r:id="R26dc9c7a3a934de9"/>
    <x:sheet xmlns:r="http://schemas.openxmlformats.org/officeDocument/2006/relationships" name="Юнит экономика" sheetId="4" r:id="Rc24706e260044e83"/>
    <x:sheet xmlns:r="http://schemas.openxmlformats.org/officeDocument/2006/relationships" name="TCO" sheetId="5" r:id="Rba9c8787750f4cf8"/>
    <x:sheet xmlns:r="http://schemas.openxmlformats.org/officeDocument/2006/relationships" name="SLO" sheetId="6" r:id="Raa06ff63ce27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–&quot;"/>
    <x:numFmt numFmtId="201" formatCode="0%"/>
    <x:numFmt numFmtId="202" formatCode="0.00"/>
    <x:numFmt numFmtId="203" formatCode="0.0"/>
    <x:numFmt numFmtId="204" formatCode="0.0%"/>
  </x:numFmts>
  <x:fonts count="10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111111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8000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DF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64748B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200" fontId="8" fillId="3" borderId="1" xfId="0" applyNumberFormat="1" applyFont="1" applyFill="1" applyBorder="1" applyAlignment="1">
      <x:alignment vertical="center"/>
    </x:xf>
    <x:xf numFmtId="200" fontId="9" fillId="3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9da9fcaa14a6e" /><Relationship Type="http://schemas.openxmlformats.org/officeDocument/2006/relationships/theme" Target="/xl/theme/theme1.xml" Id="R18093834ef1644f6" /><Relationship Type="http://schemas.openxmlformats.org/officeDocument/2006/relationships/sharedStrings" Target="/xl/sharedStrings.xml" Id="R721bb857d32248b9" /><Relationship Type="http://schemas.openxmlformats.org/officeDocument/2006/relationships/worksheet" Target="/xl/worksheets/sheet1.xml" Id="R23d84dd7a7b1454a" /><Relationship Type="http://schemas.openxmlformats.org/officeDocument/2006/relationships/worksheet" Target="/xl/worksheets/sheet2.xml" Id="Re51d9d64930c4b3c" /><Relationship Type="http://schemas.openxmlformats.org/officeDocument/2006/relationships/worksheet" Target="/xl/worksheets/sheet3.xml" Id="R26dc9c7a3a934de9" /><Relationship Type="http://schemas.openxmlformats.org/officeDocument/2006/relationships/worksheet" Target="/xl/worksheets/sheet4.xml" Id="Rc24706e260044e83" /><Relationship Type="http://schemas.openxmlformats.org/officeDocument/2006/relationships/worksheet" Target="/xl/worksheets/sheet5.xml" Id="Rba9c8787750f4cf8" /><Relationship Type="http://schemas.openxmlformats.org/officeDocument/2006/relationships/worksheet" Target="/xl/worksheets/sheet6.xml" Id="Raa06ff63ce27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1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ENUWay ЛЗ 8 қаржы қорытындысы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Көрсеткіш</x:v>
      </x:c>
      <x:c r="D4" s="8" t="str">
        <x:v>Мәні</x:v>
      </x:c>
      <x:c r="E4" s="8" t="str">
        <x:v>Бірлік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3" customHeight="1">
      <x:c r="C5" s="3" t="str">
        <x:v>12 ай негізгі бюджет</x:v>
      </x:c>
      <x:c r="D5" s="10" t="n">
        <x:f>'Бюджет'!P17</x:f>
        <x:v>1935838.98</x:v>
      </x:c>
      <x:c r="E5" s="4" t="str">
        <x:v>₸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3" customHeight="1">
      <x:c r="C6" s="3" t="str">
        <x:v>Резервпен қаржы шегі</x:v>
      </x:c>
      <x:c r="D6" s="10" t="n">
        <x:f>'Бюджет'!P23</x:f>
        <x:v>2143288.76</x:v>
      </x:c>
      <x:c r="E6" s="4" t="str">
        <x:v>₸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23" customHeight="1">
      <x:c r="C7" s="3" t="str">
        <x:v>Сценарийлік түсім</x:v>
      </x:c>
      <x:c r="D7" s="10" t="n">
        <x:f>'Бюджет'!P7</x:f>
        <x:v>678000</x:v>
      </x:c>
      <x:c r="E7" s="4" t="str">
        <x:v>₸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23" customHeight="1">
      <x:c r="C8" s="3" t="str">
        <x:v>Негізгі таза нәтиже</x:v>
      </x:c>
      <x:c r="D8" s="10" t="n">
        <x:f>'Бюджет'!P18</x:f>
        <x:v>-1257838.98</x:v>
      </x:c>
      <x:c r="E8" s="4" t="str">
        <x:v>₸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23" customHeight="1">
      <x:c r="C9" s="3" t="str">
        <x:v>Өзіндік құн / пайдаланушы-ай</x:v>
      </x:c>
      <x:c r="D9" s="10" t="n">
        <x:f>'Бюджет'!P24</x:f>
        <x:v>171.31318407079647</x:v>
      </x:c>
      <x:c r="E9" s="4" t="str">
        <x:v>₸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ht="23" customHeight="1">
      <x:c r="C10" s="3" t="str">
        <x:v>Өзіндік құн / сапар</x:v>
      </x:c>
      <x:c r="D10" s="10" t="n">
        <x:f>'Бюджет'!P25</x:f>
        <x:v>171.31318407079647</x:v>
      </x:c>
      <x:c r="E10" s="4" t="str">
        <x:v>₸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23" customHeight="1">
      <x:c r="C11" s="3" t="str">
        <x:v>Операциялық залалсыздық</x:v>
      </x:c>
      <x:c r="D11" s="10" t="n">
        <x:f>'Юнит экономика'!D10</x:f>
        <x:v>1783</x:v>
      </x:c>
      <x:c r="E11" s="4" t="str">
        <x:v>MAU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23" customHeight="1">
      <x:c r="C12" s="3" t="str">
        <x:v>12 айда бастапқы шығынды өтеу</x:v>
      </x:c>
      <x:c r="D12" s="10" t="n">
        <x:f>'Юнит экономика'!D12</x:f>
        <x:v>2958</x:v>
      </x:c>
      <x:c r="E12" s="4" t="str">
        <x:v>MAU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3" customHeight="1">
      <x:c r="C13" s="3" t="str">
        <x:v>Қолмен өңдеуден арзан шек</x:v>
      </x:c>
      <x:c r="D13" s="10" t="n">
        <x:f>'Юнит экономика'!D17</x:f>
        <x:v>138</x:v>
      </x:c>
      <x:c r="E13" s="4" t="str">
        <x:v>MAU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23" customHeight="1">
      <x:c r="C14" s="3" t="str">
        <x:v>Ұсынылған VPS TCO 36 ай</x:v>
      </x:c>
      <x:c r="D14" s="10" t="n">
        <x:f>'TCO'!F21</x:f>
        <x:v>4357515.78</x:v>
      </x:c>
      <x:c r="E14" s="4" t="str">
        <x:v>₸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23" customHeight="1">
      <x:c r="C15" s="3" t="str">
        <x:v>Резервпен бастапқы қаржы қажеттілігі</x:v>
      </x:c>
      <x:c r="D15" s="10" t="n">
        <x:f>'Юнит экономика'!D24</x:f>
        <x:v>1479148</x:v>
      </x:c>
      <x:c r="E15" s="4" t="str">
        <x:v>₸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23" customHeight="1">
      <x:c r="C16" s="3"/>
      <x:c r="D16" s="10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23" customHeight="1">
      <x:c r="C17" s="3"/>
      <x:c r="D17" s="10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23" customHeight="1">
      <x:c r="C18" s="3" t="str">
        <x:v>Таңдау: Қазақстандағы арендалық VPS. Монетизация — бекітілмеген сценарий.</x:v>
      </x:c>
      <x:c r="D18" s="10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23" customHeight="1">
      <x:c r="C19" s="3" t="str">
        <x:v>Бюджет экономикалық еңбек құнын қамтиды; оқу жұмысы үшін нақты ақша төленген жоқ.</x:v>
      </x:c>
      <x:c r="D19" s="10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3" customHeight="1"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3" customHeight="1"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3" customHeight="1">
      <x:c r="C22" s="3" t="str">
        <x:v>Тексеру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3" customHeight="1">
      <x:c r="C23" s="3" t="str">
        <x:v>Әзірлеу сағаттарының айырмасы</x:v>
      </x:c>
      <x:c r="D23" s="24" t="n">
        <x:f>'Бюджет'!D29</x:f>
        <x:v>0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3" customHeight="1">
      <x:c r="C24" s="3" t="str">
        <x:v>Бюджет баптарының айырмасы</x:v>
      </x:c>
      <x:c r="D24" s="24" t="n">
        <x:f>'Бюджет'!D30</x:f>
        <x:v>0</x:v>
      </x:c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3" customHeight="1"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3" customHeight="1">
      <x:c r="C26" s="3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3" customHeight="1"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3" customHeight="1"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3" customHeight="1"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3" customHeight="1"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3" customHeight="1"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3" customHeight="1"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3" customHeight="1"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3" customHeight="1"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3" customHeight="1"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3" customHeight="1"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3" customHeight="1"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3" customHeight="1"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3" customHeight="1"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3" customHeight="1"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3" customHeight="1"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3" customHeight="1"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3" customHeight="1"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3" customHeight="1"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3" customHeight="1"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3" customHeight="1"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3" customHeight="1"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3" customHeight="1"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3" customHeight="1"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3" customHeight="1"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3" customHeight="1"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3" customHeight="1"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61" hidden="0" customWidth="1"/>
    <x:col min="7" max="7" width="7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ENUWay бастапқы деректер мен болжамдар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Параметр</x:v>
      </x:c>
      <x:c r="D4" s="8" t="str">
        <x:v>Мәні</x:v>
      </x:c>
      <x:c r="E4" s="8" t="str">
        <x:v>Бірлік</x:v>
      </x:c>
      <x:c r="F4" s="8" t="str">
        <x:v>Негізі</x:v>
      </x:c>
      <x:c r="G4" s="8" t="str">
        <x:v>Дереккөз</x:v>
      </x:c>
      <x:c r="H4" s="3"/>
      <x:c r="I4" s="3"/>
      <x:c r="J4" s="3"/>
      <x:c r="K4" s="3"/>
      <x:c r="L4" s="3"/>
      <x:c r="M4" s="3"/>
      <x:c r="N4" s="3"/>
      <x:c r="O4" s="3"/>
      <x:c r="P4" s="3"/>
    </x:row>
    <x:row r="5" ht="23" customHeight="1">
      <x:c r="C5" s="3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43" customHeight="1">
      <x:c r="C6" s="17" t="str">
        <x:v>ЛЗ 5 әзірлеу көлемі</x:v>
      </x:c>
      <x:c r="D6" s="18" t="n">
        <x:v>132</x:v>
      </x:c>
      <x:c r="E6" s="19" t="str">
        <x:v>сағат</x:v>
      </x:c>
      <x:c r="F6" s="19" t="str">
        <x:v>ЛЗ 5; резерв бөлек</x:v>
      </x:c>
      <x:c r="G6" s="19" t="str"/>
      <x:c r="H6" s="4"/>
      <x:c r="I6" s="4"/>
      <x:c r="J6" s="4"/>
      <x:c r="K6" s="4"/>
      <x:c r="L6" s="4"/>
      <x:c r="M6" s="4"/>
      <x:c r="N6" s="4"/>
      <x:c r="O6" s="4"/>
      <x:c r="P6" s="4"/>
    </x:row>
    <x:row r="7" ht="43" customHeight="1">
      <x:c r="C7" s="17" t="str">
        <x:v>ЛЗ 3 еңбектің бастапқы көлемі</x:v>
      </x:c>
      <x:c r="D7" s="18" t="n">
        <x:v>67.5</x:v>
      </x:c>
      <x:c r="E7" s="19" t="str">
        <x:v>сағат</x:v>
      </x:c>
      <x:c r="F7" s="19" t="str">
        <x:v>ЛЗ 3 қаржылық моделі, 24.09.2026 базасы</x:v>
      </x:c>
      <x:c r="G7" s="19" t="str"/>
      <x:c r="H7" s="4"/>
      <x:c r="I7" s="4"/>
      <x:c r="J7" s="4"/>
      <x:c r="K7" s="4"/>
      <x:c r="L7" s="4"/>
      <x:c r="M7" s="4"/>
      <x:c r="N7" s="4"/>
      <x:c r="O7" s="4"/>
      <x:c r="P7" s="4"/>
    </x:row>
    <x:row r="8" ht="43" customHeight="1">
      <x:c r="C8" s="17" t="str">
        <x:v>АТ мөлшерлемесіне негіз болған айлық</x:v>
      </x:c>
      <x:c r="D8" s="18" t="n">
        <x:v>851076</x:v>
      </x:c>
      <x:c r="E8" s="19" t="str">
        <x:v>₸</x:v>
      </x:c>
      <x:c r="F8" s="19" t="str">
        <x:v>ЛЗ 3 қаржылық моделі, 24.09.2026 базасы</x:v>
      </x:c>
      <x:c r="G8" s="19" t="str">
        <x:v>ЛЗ 3 дерегі; жаңа статистика ретінде ұсынылмайды</x:v>
      </x:c>
      <x:c r="H8" s="4"/>
      <x:c r="I8" s="4"/>
      <x:c r="J8" s="4"/>
      <x:c r="K8" s="4"/>
      <x:c r="L8" s="4"/>
      <x:c r="M8" s="4"/>
      <x:c r="N8" s="4"/>
      <x:c r="O8" s="4"/>
      <x:c r="P8" s="4"/>
    </x:row>
    <x:row r="9" ht="43" customHeight="1">
      <x:c r="C9" s="17" t="str">
        <x:v>PM мөлшерлемесіне негіз болған айлық</x:v>
      </x:c>
      <x:c r="D9" s="18" t="n">
        <x:v>655277</x:v>
      </x:c>
      <x:c r="E9" s="19" t="str">
        <x:v>₸</x:v>
      </x:c>
      <x:c r="F9" s="19" t="str">
        <x:v>ЛЗ 3 қаржылық моделі, 24.09.2026 базасы</x:v>
      </x:c>
      <x:c r="G9" s="19" t="str">
        <x:v>ЛЗ 3 дерегі; жаңа статистика ретінде ұсынылмайды</x:v>
      </x:c>
      <x:c r="H9" s="4"/>
      <x:c r="I9" s="4"/>
      <x:c r="J9" s="4"/>
      <x:c r="K9" s="4"/>
      <x:c r="L9" s="4"/>
      <x:c r="M9" s="4"/>
      <x:c r="N9" s="4"/>
      <x:c r="O9" s="4"/>
      <x:c r="P9" s="4"/>
    </x:row>
    <x:row r="10" ht="43" customHeight="1">
      <x:c r="C10" s="17" t="str">
        <x:v>Айдағы нормаланған уақыт</x:v>
      </x:c>
      <x:c r="D10" s="18" t="n">
        <x:v>160</x:v>
      </x:c>
      <x:c r="E10" s="19" t="str">
        <x:v>сағат</x:v>
      </x:c>
      <x:c r="F10" s="19" t="str">
        <x:v>ЛЗ 3 қаржылық моделі, 24.09.2026 базасы</x:v>
      </x:c>
      <x:c r="G10" s="19" t="str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43" customHeight="1">
      <x:c r="C11" s="17" t="str">
        <x:v>АТ сағаттық құны</x:v>
      </x:c>
      <x:c r="D11" s="20" t="n">
        <x:f>D8/D10</x:f>
        <x:v>5319.225</x:v>
      </x:c>
      <x:c r="E11" s="19" t="str">
        <x:v>₸/сағ</x:v>
      </x:c>
      <x:c r="F11" s="19" t="str">
        <x:v>Модельден есептеледі</x:v>
      </x:c>
      <x:c r="G11" s="19" t="str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43" customHeight="1">
      <x:c r="C12" s="17" t="str">
        <x:v>PM сағаттық құны</x:v>
      </x:c>
      <x:c r="D12" s="20" t="n">
        <x:f>D9/D10</x:f>
        <x:v>4095.48125</x:v>
      </x:c>
      <x:c r="E12" s="19" t="str">
        <x:v>₸/сағ</x:v>
      </x:c>
      <x:c r="F12" s="19" t="str">
        <x:v>Модельден есептеледі</x:v>
      </x:c>
      <x:c r="G12" s="19" t="str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43" customHeight="1">
      <x:c r="C13" s="17" t="str">
        <x:v>Әзірлеу АТ сағаттары</x:v>
      </x:c>
      <x:c r="D13" s="18" t="n">
        <x:v>88</x:v>
      </x:c>
      <x:c r="E13" s="19" t="str">
        <x:v>сағат</x:v>
      </x:c>
      <x:c r="F13" s="19" t="str">
        <x:v>132 сағатты 88 АТ + 44 PM бөлу; жоспар</x:v>
      </x:c>
      <x:c r="G13" s="19" t="str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43" customHeight="1">
      <x:c r="C14" s="17" t="str">
        <x:v>Әзірлеу PM сағаттары</x:v>
      </x:c>
      <x:c r="D14" s="18" t="n">
        <x:v>44</x:v>
      </x:c>
      <x:c r="E14" s="19" t="str">
        <x:v>сағат</x:v>
      </x:c>
      <x:c r="F14" s="19" t="str">
        <x:v>132 сағаттың құрамында</x:v>
      </x:c>
      <x:c r="G14" s="19" t="str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43" customHeight="1">
      <x:c r="C15" s="17" t="str">
        <x:v>VPS қолдауы</x:v>
      </x:c>
      <x:c r="D15" s="18" t="n">
        <x:v>8</x:v>
      </x:c>
      <x:c r="E15" s="19" t="str">
        <x:v>сағ/ай</x:v>
      </x:c>
      <x:c r="F15" s="19" t="str">
        <x:v>ЛЗ 3 self-hosted жоспары</x:v>
      </x:c>
      <x:c r="G15" s="19" t="str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43" customHeight="1">
      <x:c r="C16" s="17" t="str">
        <x:v>Өнімді әрі қарай дамыту</x:v>
      </x:c>
      <x:c r="D16" s="18" t="n">
        <x:v>4</x:v>
      </x:c>
      <x:c r="E16" s="19" t="str">
        <x:v>сағ/ай</x:v>
      </x:c>
      <x:c r="F16" s="19" t="str">
        <x:v>ЛЗ 3 бірінші жыл жоспары</x:v>
      </x:c>
      <x:c r="G16" s="19" t="str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43" customHeight="1">
      <x:c r="C17" s="17" t="str">
        <x:v>Айнымалы өңдеу шығыны</x:v>
      </x:c>
      <x:c r="D17" s="18" t="n">
        <x:v>8</x:v>
      </x:c>
      <x:c r="E17" s="19" t="str">
        <x:v>₸/MAU/ай</x:v>
      </x:c>
      <x:c r="F17" s="19" t="str">
        <x:v>Жоспар; email, трафик, сервистік ұсақ шығындар</x:v>
      </x:c>
      <x:c r="G17" s="19" t="str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43" customHeight="1">
      <x:c r="C18" s="17" t="str">
        <x:v>Бір аяқталған сапардан алым</x:v>
      </x:c>
      <x:c r="D18" s="18" t="n">
        <x:v>60</x:v>
      </x:c>
      <x:c r="E18" s="19" t="str">
        <x:v>₸/сапар</x:v>
      </x:c>
      <x:c r="F18" s="19" t="str">
        <x:v>ЛЗ 3; бекітілмеген монетизация сценарийі</x:v>
      </x:c>
      <x:c r="G18" s="19" t="str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43" customHeight="1">
      <x:c r="C19" s="17" t="str">
        <x:v>Бір белсенді пайдаланушы сапарлары</x:v>
      </x:c>
      <x:c r="D19" s="18" t="n">
        <x:v>1</x:v>
      </x:c>
      <x:c r="E19" s="19" t="str">
        <x:v>сапар/ай</x:v>
      </x:c>
      <x:c r="F19" s="19" t="str">
        <x:v>ЛЗ 3; пилотта өлшенбеген</x:v>
      </x:c>
      <x:c r="G19" s="19" t="str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43" customHeight="1">
      <x:c r="C20" s="17" t="str">
        <x:v>.KZ домені</x:v>
      </x:c>
      <x:c r="D20" s="18" t="n">
        <x:v>9590</x:v>
      </x:c>
      <x:c r="E20" s="19" t="str">
        <x:v>₸/жыл</x:v>
      </x:c>
      <x:c r="F20" s="19" t="str">
        <x:v>Жария баға ҚҚС-пен; 22.10.2026</x:v>
      </x:c>
      <x:c r="G20" s="19" t="str">
        <x:v>https://www.ps.kz/news/nds-2026</x:v>
      </x:c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43" customHeight="1">
      <x:c r="C21" s="17" t="str">
        <x:v>Hoster Cloud 4-8-200</x:v>
      </x:c>
      <x:c r="D21" s="18" t="n">
        <x:v>23040</x:v>
      </x:c>
      <x:c r="E21" s="19" t="str">
        <x:v>₸/ай</x:v>
      </x:c>
      <x:c r="F21" s="19" t="str">
        <x:v>4 vCPU, 8 GB, 200 GB NVMe; 1 IP; жария баға</x:v>
      </x:c>
      <x:c r="G21" s="19" t="str">
        <x:v>https://hoster.kz/cloud/vps/</x:v>
      </x:c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43" customHeight="1">
      <x:c r="C22" s="17" t="str">
        <x:v>VPS баға түзету коэффициенті</x:v>
      </x:c>
      <x:c r="D22" s="18" t="n">
        <x:v>1</x:v>
      </x:c>
      <x:c r="E22" s="19" t="str">
        <x:v>коэфф.</x:v>
      </x:c>
      <x:c r="F22" s="19" t="str">
        <x:v>Жария баға ақырғы сома деп алынған; шотта салықты нақтылау</x:v>
      </x:c>
      <x:c r="G22" s="19" t="str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43" customHeight="1">
      <x:c r="C23" s="17" t="str">
        <x:v>Бөлек резервтік сақтау</x:v>
      </x:c>
      <x:c r="D23" s="18" t="n">
        <x:v>5000</x:v>
      </x:c>
      <x:c r="E23" s="19" t="str">
        <x:v>₸/ай</x:v>
      </x:c>
      <x:c r="F23" s="19" t="str">
        <x:v>Жоспарлық лимит, провайдер ұсынысы емес; Қазақстанда</x:v>
      </x:c>
      <x:c r="G23" s="19" t="str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43" customHeight="1">
      <x:c r="C24" s="17" t="str">
        <x:v>Freedom Cloud vCPU</x:v>
      </x:c>
      <x:c r="D24" s="18" t="n">
        <x:v>2200</x:v>
      </x:c>
      <x:c r="E24" s="19" t="str">
        <x:v>₸/ядро/ай</x:v>
      </x:c>
      <x:c r="F24" s="19" t="str">
        <x:v>Калькулятор; ҚҚС-сыз; 22.10.2026</x:v>
      </x:c>
      <x:c r="G24" s="19" t="str">
        <x:v>https://fcd.kz/ru/calculators</x:v>
      </x:c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43" customHeight="1">
      <x:c r="C25" s="17" t="str">
        <x:v>Freedom Cloud RAM</x:v>
      </x:c>
      <x:c r="D25" s="18" t="n">
        <x:v>2150</x:v>
      </x:c>
      <x:c r="E25" s="19" t="str">
        <x:v>₸/GB/ай</x:v>
      </x:c>
      <x:c r="F25" s="19" t="str">
        <x:v>Калькулятор; ҚҚС-сыз</x:v>
      </x:c>
      <x:c r="G25" s="19" t="str">
        <x:v>https://fcd.kz/ru/calculators</x:v>
      </x:c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43" customHeight="1">
      <x:c r="C26" s="17" t="str">
        <x:v>Freedom Cloud NVMe</x:v>
      </x:c>
      <x:c r="D26" s="18" t="n">
        <x:v>90</x:v>
      </x:c>
      <x:c r="E26" s="19" t="str">
        <x:v>₸/GB/ай</x:v>
      </x:c>
      <x:c r="F26" s="19" t="str">
        <x:v>Калькулятор; ҚҚС-сыз</x:v>
      </x:c>
      <x:c r="G26" s="19" t="str">
        <x:v>https://fcd.kz/ru/calculators</x:v>
      </x:c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43" customHeight="1">
      <x:c r="C27" s="17" t="str">
        <x:v>Салыстыру vCPU</x:v>
      </x:c>
      <x:c r="D27" s="18" t="n">
        <x:v>4</x:v>
      </x:c>
      <x:c r="E27" s="19" t="str">
        <x:v>ядро</x:v>
      </x:c>
      <x:c r="F27" s="19" t="str">
        <x:v>Барлық нұсқада қолданбаға бөлінетін төменгі ресурс</x:v>
      </x:c>
      <x:c r="G27" s="19" t="str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43" customHeight="1">
      <x:c r="C28" s="17" t="str">
        <x:v>Салыстыру RAM</x:v>
      </x:c>
      <x:c r="D28" s="18" t="n">
        <x:v>8</x:v>
      </x:c>
      <x:c r="E28" s="19" t="str">
        <x:v>GB</x:v>
      </x:c>
      <x:c r="F28" s="19" t="str">
        <x:v>Барлық нұсқада кемінде осы ресурс</x:v>
      </x:c>
      <x:c r="G28" s="19" t="str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43" customHeight="1">
      <x:c r="C29" s="17" t="str">
        <x:v>Салыстыру NVMe</x:v>
      </x:c>
      <x:c r="D29" s="18" t="n">
        <x:v>200</x:v>
      </x:c>
      <x:c r="E29" s="19" t="str">
        <x:v>GB</x:v>
      </x:c>
      <x:c r="F29" s="19" t="str">
        <x:v>Пайдалы сақтау көлемінің төменгі шегі</x:v>
      </x:c>
      <x:c r="G29" s="19" t="str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43" customHeight="1">
      <x:c r="C30" s="17" t="str">
        <x:v>Freedom Cloud ҚҚС мөлшерлемесі</x:v>
      </x:c>
      <x:c r="D30" s="21" t="n">
        <x:v>0.16</x:v>
      </x:c>
      <x:c r="E30" s="19" t="str">
        <x:v>үлес</x:v>
      </x:c>
      <x:c r="F30" s="19" t="str">
        <x:v>22.10.2026 жоспарлау мөлшерлемесі</x:v>
      </x:c>
      <x:c r="G30" s="19" t="str">
        <x:v>https://www.ps.kz/news/nds-2026</x:v>
      </x:c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43" customHeight="1">
      <x:c r="C31" s="17" t="str">
        <x:v>Public cloud қолдауы</x:v>
      </x:c>
      <x:c r="D31" s="18" t="n">
        <x:v>6</x:v>
      </x:c>
      <x:c r="E31" s="19" t="str">
        <x:v>сағ/ай</x:v>
      </x:c>
      <x:c r="F31" s="19" t="str">
        <x:v>IaaS; ДҚ командаға жүктеледі; жоспар</x:v>
      </x:c>
      <x:c r="G31" s="19" t="str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43" customHeight="1">
      <x:c r="C32" s="17" t="str">
        <x:v>Жеке сервер қолдауы</x:v>
      </x:c>
      <x:c r="D32" s="18" t="n">
        <x:v>12</x:v>
      </x:c>
      <x:c r="E32" s="19" t="str">
        <x:v>сағ/ай</x:v>
      </x:c>
      <x:c r="F32" s="19" t="str">
        <x:v>Аппараттық әкімшілендіруді қоса; жоспар</x:v>
      </x:c>
      <x:c r="G32" s="19" t="str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43" customHeight="1">
      <x:c r="C33" s="17" t="str">
        <x:v>ENU сервер қолдауы</x:v>
      </x:c>
      <x:c r="D33" s="18" t="n">
        <x:v>10</x:v>
      </x:c>
      <x:c r="E33" s="19" t="str">
        <x:v>сағ/ай</x:v>
      </x:c>
      <x:c r="F33" s="19" t="str">
        <x:v>Қол жеткізу мен үйлестіруді қоса; жоспар</x:v>
      </x:c>
      <x:c r="G33" s="19" t="str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43" customHeight="1">
      <x:c r="C34" s="17" t="str">
        <x:v>Dell T150 платформасы</x:v>
      </x:c>
      <x:c r="D34" s="18" t="n">
        <x:v>1900000</x:v>
      </x:c>
      <x:c r="E34" s="19" t="str">
        <x:v>₸</x:v>
      </x:c>
      <x:c r="F34" s="19" t="str">
        <x:v>Индикативті жария баға ҚҚС-пен; құрамы КП-мен расталады</x:v>
      </x:c>
      <x:c r="G34" s="19" t="str">
        <x:v>https://server360.kz/catalog/server/dell-poweredge-t150/</x:v>
      </x:c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43" customHeight="1">
      <x:c r="C35" s="17" t="str">
        <x:v>UPS</x:v>
      </x:c>
      <x:c r="D35" s="18" t="n">
        <x:v>120000</x:v>
      </x:c>
      <x:c r="E35" s="19" t="str">
        <x:v>₸</x:v>
      </x:c>
      <x:c r="F35" s="19" t="str">
        <x:v>Сатып алу жоспары, коммерциялық ұсыныс емес</x:v>
      </x:c>
      <x:c r="G35" s="19" t="str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43" customHeight="1">
      <x:c r="C36" s="17" t="str">
        <x:v>SSD және желі толықтыруы</x:v>
      </x:c>
      <x:c r="D36" s="18" t="n">
        <x:v>100000</x:v>
      </x:c>
      <x:c r="E36" s="19" t="str">
        <x:v>₸</x:v>
      </x:c>
      <x:c r="F36" s="19" t="str">
        <x:v>Қосымша жоспар; баға ұсынысымен нақтылау</x:v>
      </x:c>
      <x:c r="G36" s="19" t="str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43" customHeight="1">
      <x:c r="C37" s="17" t="str">
        <x:v>Сервердің орташа қуаты</x:v>
      </x:c>
      <x:c r="D37" s="22" t="n">
        <x:v>0.15</x:v>
      </x:c>
      <x:c r="E37" s="19" t="str">
        <x:v>кВт</x:v>
      </x:c>
      <x:c r="F37" s="19" t="str">
        <x:v>Жоспар; нақты өлшенбеген</x:v>
      </x:c>
      <x:c r="G37" s="19" t="str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43" customHeight="1">
      <x:c r="C38" s="17" t="str">
        <x:v>Электр энергиясы</x:v>
      </x:c>
      <x:c r="D38" s="18" t="n">
        <x:v>45</x:v>
      </x:c>
      <x:c r="E38" s="19" t="str">
        <x:v>₸/кВтсағ</x:v>
      </x:c>
      <x:c r="F38" s="19" t="str">
        <x:v>Есептік тариф; ENU шотынан алынбаған</x:v>
      </x:c>
      <x:c r="G38" s="19" t="str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43" customHeight="1">
      <x:c r="C39" s="17" t="str">
        <x:v>TCO орташа ай ұзақтығы</x:v>
      </x:c>
      <x:c r="D39" s="18" t="n">
        <x:v>730</x:v>
      </x:c>
      <x:c r="E39" s="19" t="str">
        <x:v>сағ/ай</x:v>
      </x:c>
      <x:c r="F39" s="19" t="str">
        <x:v>8760 / 12</x:v>
      </x:c>
      <x:c r="G39" s="19" t="str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43" customHeight="1">
      <x:c r="C40" s="17" t="str">
        <x:v>Қуат пен салқындату көбейткіші</x:v>
      </x:c>
      <x:c r="D40" s="23" t="n">
        <x:v>1.5</x:v>
      </x:c>
      <x:c r="E40" s="19" t="str">
        <x:v>коэфф.</x:v>
      </x:c>
      <x:c r="F40" s="19" t="str">
        <x:v>Жоспарлық үстеме</x:v>
      </x:c>
      <x:c r="G40" s="19" t="str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43" customHeight="1">
      <x:c r="C41" s="17" t="str">
        <x:v>Жеке сервер желісі</x:v>
      </x:c>
      <x:c r="D41" s="18" t="n">
        <x:v>10000</x:v>
      </x:c>
      <x:c r="E41" s="19" t="str">
        <x:v>₸/ай</x:v>
      </x:c>
      <x:c r="F41" s="19" t="str">
        <x:v>Жоспар; тұрақты IP және арна үлесі</x:v>
      </x:c>
      <x:c r="G41" s="19" t="str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43" customHeight="1">
      <x:c r="C42" s="17" t="str">
        <x:v>Жөндеу жылдық резерві</x:v>
      </x:c>
      <x:c r="D42" s="18" t="n">
        <x:v>60000</x:v>
      </x:c>
      <x:c r="E42" s="19" t="str">
        <x:v>₸/жыл</x:v>
      </x:c>
      <x:c r="F42" s="19" t="str">
        <x:v>Күтілетін экономикалық шығын; жоспар</x:v>
      </x:c>
      <x:c r="G42" s="19" t="str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43" customHeight="1">
      <x:c r="C43" s="17" t="str">
        <x:v>ENU ортақ ресурс үлесі</x:v>
      </x:c>
      <x:c r="D43" s="18" t="n">
        <x:v>8000</x:v>
      </x:c>
      <x:c r="E43" s="19" t="str">
        <x:v>₸/ай</x:v>
      </x:c>
      <x:c r="F43" s="19" t="str">
        <x:v>Жоспарлық ішкі бөлу; тегін сервер деп алынбайды</x:v>
      </x:c>
      <x:c r="G43" s="19" t="str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43" customHeight="1">
      <x:c r="C44" s="17" t="str">
        <x:v>Белгілі тәуекелдер резерві</x:v>
      </x:c>
      <x:c r="D44" s="18" t="n">
        <x:v>30</x:v>
      </x:c>
      <x:c r="E44" s="19" t="str">
        <x:v>сағат</x:v>
      </x:c>
      <x:c r="F44" s="19" t="str">
        <x:v>ЛЗ 7: 29,92 сағаттан жоғары дөңгелектелген</x:v>
      </x:c>
      <x:c r="G44" s="19" t="str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43" customHeight="1">
      <x:c r="C45" s="17" t="str">
        <x:v>Басқарушылық резерв</x:v>
      </x:c>
      <x:c r="D45" s="18" t="n">
        <x:v>9</x:v>
      </x:c>
      <x:c r="E45" s="19" t="str">
        <x:v>сағат</x:v>
      </x:c>
      <x:c r="F45" s="19" t="str">
        <x:v>ЛЗ 7 бос уақыт қалдығы</x:v>
      </x:c>
      <x:c r="G45" s="19" t="str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43" customHeight="1">
      <x:c r="C46" s="17" t="str">
        <x:v>Қолмен бір өтінімді өңдеу</x:v>
      </x:c>
      <x:c r="D46" s="18" t="n">
        <x:v>10</x:v>
      </x:c>
      <x:c r="E46" s="19" t="str">
        <x:v>минут</x:v>
      </x:c>
      <x:c r="F46" s="19" t="str">
        <x:v>Тек гипотеза; уақыт өлшемімен тексеріледі</x:v>
      </x:c>
      <x:c r="G46" s="19" t="str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43" customHeight="1">
      <x:c r="C47" s="17" t="str">
        <x:v>Public cloud іске қосу</x:v>
      </x:c>
      <x:c r="D47" s="18" t="n">
        <x:v>8</x:v>
      </x:c>
      <x:c r="E47" s="19" t="str">
        <x:v>сағат</x:v>
      </x:c>
      <x:c r="F47" s="19" t="str">
        <x:v>Курстан кейінгі өндірістік көшіру; жоспар</x:v>
      </x:c>
      <x:c r="G47" s="19" t="str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43" customHeight="1">
      <x:c r="C48" s="17" t="str">
        <x:v>VPS іске қосу</x:v>
      </x:c>
      <x:c r="D48" s="18" t="n">
        <x:v>16</x:v>
      </x:c>
      <x:c r="E48" s="19" t="str">
        <x:v>сағат</x:v>
      </x:c>
      <x:c r="F48" s="19" t="str">
        <x:v>Курстан кейінгі өндірістік көшіру; жоспар</x:v>
      </x:c>
      <x:c r="G48" s="19" t="str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43" customHeight="1">
      <x:c r="C49" s="17" t="str">
        <x:v>Жеке серверді іске қосу</x:v>
      </x:c>
      <x:c r="D49" s="18" t="n">
        <x:v>24</x:v>
      </x:c>
      <x:c r="E49" s="19" t="str">
        <x:v>сағат</x:v>
      </x:c>
      <x:c r="F49" s="19" t="str">
        <x:v>Қосымша өндірістік баптау; жоспар</x:v>
      </x:c>
      <x:c r="G49" s="19" t="str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43" customHeight="1">
      <x:c r="C50" s="17" t="str">
        <x:v>ENU серверін іске қосу</x:v>
      </x:c>
      <x:c r="D50" s="18" t="n">
        <x:v>20</x:v>
      </x:c>
      <x:c r="E50" s="19" t="str">
        <x:v>сағат</x:v>
      </x:c>
      <x:c r="F50" s="19" t="str">
        <x:v>Қосымша өндірістік баптау; жоспар</x:v>
      </x:c>
      <x:c r="G50" s="19" t="str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43" customHeight="1">
      <x:c r="C51" s="17" t="str">
        <x:v>TCO тұрақты белсенді аудитория</x:v>
      </x:c>
      <x:c r="D51" s="18" t="n">
        <x:v>1000</x:v>
      </x:c>
      <x:c r="E51" s="19" t="str">
        <x:v>MAU</x:v>
      </x:c>
      <x:c r="F51" s="19" t="str">
        <x:v>36 ай бірдей жүктемені салыстыру, өсу жоқ</x:v>
      </x:c>
      <x:c r="G51" s="19" t="str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32" customHeight="1">
      <x:c r="C59" s="8" t="str">
        <x:v>MAU айлық жоспары</x:v>
      </x:c>
      <x:c r="D59" s="16" t="str">
        <x:v>2026-11</x:v>
      </x:c>
      <x:c r="E59" s="16" t="str">
        <x:v>2026-12</x:v>
      </x:c>
      <x:c r="F59" s="16" t="str">
        <x:v>2027-01</x:v>
      </x:c>
      <x:c r="G59" s="16" t="str">
        <x:v>2027-02</x:v>
      </x:c>
      <x:c r="H59" s="16" t="str">
        <x:v>2027-03</x:v>
      </x:c>
      <x:c r="I59" s="16" t="str">
        <x:v>2027-04</x:v>
      </x:c>
      <x:c r="J59" s="16" t="str">
        <x:v>2027-05</x:v>
      </x:c>
      <x:c r="K59" s="16" t="str">
        <x:v>2027-06</x:v>
      </x:c>
      <x:c r="L59" s="16" t="str">
        <x:v>2027-07</x:v>
      </x:c>
      <x:c r="M59" s="16" t="str">
        <x:v>2027-08</x:v>
      </x:c>
      <x:c r="N59" s="16" t="str">
        <x:v>2027-09</x:v>
      </x:c>
      <x:c r="O59" s="16" t="str">
        <x:v>2027-10</x:v>
      </x:c>
      <x:c r="P59" s="4"/>
    </x:row>
    <x:row r="60" ht="23" customHeight="1">
      <x:c r="C60" s="3"/>
      <x:c r="D60" s="9" t="n">
        <x:v>100</x:v>
      </x:c>
      <x:c r="E60" s="9" t="n">
        <x:v>150</x:v>
      </x:c>
      <x:c r="F60" s="9" t="n">
        <x:v>250</x:v>
      </x:c>
      <x:c r="G60" s="9" t="n">
        <x:v>400</x:v>
      </x:c>
      <x:c r="H60" s="9" t="n">
        <x:v>600</x:v>
      </x:c>
      <x:c r="I60" s="9" t="n">
        <x:v>800</x:v>
      </x:c>
      <x:c r="J60" s="9" t="n">
        <x:v>1000</x:v>
      </x:c>
      <x:c r="K60" s="9" t="n">
        <x:v>1200</x:v>
      </x:c>
      <x:c r="L60" s="9" t="n">
        <x:v>1400</x:v>
      </x:c>
      <x:c r="M60" s="9" t="n">
        <x:v>1600</x:v>
      </x:c>
      <x:c r="N60" s="9" t="n">
        <x:v>1800</x:v>
      </x:c>
      <x:c r="O60" s="9" t="n">
        <x:v>2000</x:v>
      </x:c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 t="str">
        <x:v>Көк — өзгертілетін кіріс; қара — формула; жасыл — басқа параққа сілтеме.</x:v>
      </x:c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ENUWay 12 айлық бюджет 2026 қараша – 2027 қазан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Бап</x:v>
      </x:c>
      <x:c r="D4" s="8" t="str">
        <x:v>2026-11</x:v>
      </x:c>
      <x:c r="E4" s="8" t="str">
        <x:v>2026-12</x:v>
      </x:c>
      <x:c r="F4" s="8" t="str">
        <x:v>2027-01</x:v>
      </x:c>
      <x:c r="G4" s="8" t="str">
        <x:v>2027-02</x:v>
      </x:c>
      <x:c r="H4" s="8" t="str">
        <x:v>2027-03</x:v>
      </x:c>
      <x:c r="I4" s="8" t="str">
        <x:v>2027-04</x:v>
      </x:c>
      <x:c r="J4" s="8" t="str">
        <x:v>2027-05</x:v>
      </x:c>
      <x:c r="K4" s="8" t="str">
        <x:v>2027-06</x:v>
      </x:c>
      <x:c r="L4" s="8" t="str">
        <x:v>2027-07</x:v>
      </x:c>
      <x:c r="M4" s="8" t="str">
        <x:v>2027-08</x:v>
      </x:c>
      <x:c r="N4" s="8" t="str">
        <x:v>2027-09</x:v>
      </x:c>
      <x:c r="O4" s="8" t="str">
        <x:v>2027-10</x:v>
      </x:c>
      <x:c r="P4" s="8" t="str">
        <x:v>12 ай</x:v>
      </x:c>
    </x:row>
    <x:row r="5" ht="23" customHeight="1">
      <x:c r="C5" s="3" t="str">
        <x:v>Белсенді пайдаланушылар MAU</x:v>
      </x:c>
      <x:c r="D5" s="24" t="n">
        <x:f>'Болжамдар'!D60</x:f>
        <x:v>100</x:v>
      </x:c>
      <x:c r="E5" s="24" t="n">
        <x:f>'Болжамдар'!E60</x:f>
        <x:v>150</x:v>
      </x:c>
      <x:c r="F5" s="24" t="n">
        <x:f>'Болжамдар'!F60</x:f>
        <x:v>250</x:v>
      </x:c>
      <x:c r="G5" s="24" t="n">
        <x:f>'Болжамдар'!G60</x:f>
        <x:v>400</x:v>
      </x:c>
      <x:c r="H5" s="24" t="n">
        <x:f>'Болжамдар'!H60</x:f>
        <x:v>600</x:v>
      </x:c>
      <x:c r="I5" s="24" t="n">
        <x:f>'Болжамдар'!I60</x:f>
        <x:v>800</x:v>
      </x:c>
      <x:c r="J5" s="24" t="n">
        <x:f>'Болжамдар'!J60</x:f>
        <x:v>1000</x:v>
      </x:c>
      <x:c r="K5" s="24" t="n">
        <x:f>'Болжамдар'!K60</x:f>
        <x:v>1200</x:v>
      </x:c>
      <x:c r="L5" s="24" t="n">
        <x:f>'Болжамдар'!L60</x:f>
        <x:v>1400</x:v>
      </x:c>
      <x:c r="M5" s="24" t="n">
        <x:f>'Болжамдар'!M60</x:f>
        <x:v>1600</x:v>
      </x:c>
      <x:c r="N5" s="24" t="n">
        <x:f>'Болжамдар'!N60</x:f>
        <x:v>1800</x:v>
      </x:c>
      <x:c r="O5" s="24" t="n">
        <x:f>'Болжамдар'!O60</x:f>
        <x:v>2000</x:v>
      </x:c>
      <x:c r="P5" s="10" t="n">
        <x:f>ROUND(SUM(D5:O5),2)</x:f>
        <x:v>11300</x:v>
      </x:c>
    </x:row>
    <x:row r="6" ht="23" customHeight="1">
      <x:c r="C6" s="3" t="str">
        <x:v>Аяқталған ақылы сапарлар</x:v>
      </x:c>
      <x:c r="D6" s="24" t="n">
        <x:f>D5*'Болжамдар'!$D$19</x:f>
        <x:v>100</x:v>
      </x:c>
      <x:c r="E6" s="24" t="n">
        <x:f>E5*'Болжамдар'!$D$19</x:f>
        <x:v>150</x:v>
      </x:c>
      <x:c r="F6" s="24" t="n">
        <x:f>F5*'Болжамдар'!$D$19</x:f>
        <x:v>250</x:v>
      </x:c>
      <x:c r="G6" s="24" t="n">
        <x:f>G5*'Болжамдар'!$D$19</x:f>
        <x:v>400</x:v>
      </x:c>
      <x:c r="H6" s="24" t="n">
        <x:f>H5*'Болжамдар'!$D$19</x:f>
        <x:v>600</x:v>
      </x:c>
      <x:c r="I6" s="24" t="n">
        <x:f>I5*'Болжамдар'!$D$19</x:f>
        <x:v>800</x:v>
      </x:c>
      <x:c r="J6" s="24" t="n">
        <x:f>J5*'Болжамдар'!$D$19</x:f>
        <x:v>1000</x:v>
      </x:c>
      <x:c r="K6" s="24" t="n">
        <x:f>K5*'Болжамдар'!$D$19</x:f>
        <x:v>1200</x:v>
      </x:c>
      <x:c r="L6" s="24" t="n">
        <x:f>L5*'Болжамдар'!$D$19</x:f>
        <x:v>1400</x:v>
      </x:c>
      <x:c r="M6" s="24" t="n">
        <x:f>M5*'Болжамдар'!$D$19</x:f>
        <x:v>1600</x:v>
      </x:c>
      <x:c r="N6" s="24" t="n">
        <x:f>N5*'Болжамдар'!$D$19</x:f>
        <x:v>1800</x:v>
      </x:c>
      <x:c r="O6" s="24" t="n">
        <x:f>O5*'Болжамдар'!$D$19</x:f>
        <x:v>2000</x:v>
      </x:c>
      <x:c r="P6" s="10" t="n">
        <x:f>ROUND(SUM(D6:O6),2)</x:f>
        <x:v>11300</x:v>
      </x:c>
    </x:row>
    <x:row r="7" ht="23" customHeight="1">
      <x:c r="C7" s="31" t="str">
        <x:v>Сценарийлік түсім</x:v>
      </x:c>
      <x:c r="D7" s="32" t="n">
        <x:f>ROUND(D6*'Болжамдар'!$D$18,2)</x:f>
        <x:v>6000</x:v>
      </x:c>
      <x:c r="E7" s="32" t="n">
        <x:f>ROUND(E6*'Болжамдар'!$D$18,2)</x:f>
        <x:v>9000</x:v>
      </x:c>
      <x:c r="F7" s="32" t="n">
        <x:f>ROUND(F6*'Болжамдар'!$D$18,2)</x:f>
        <x:v>15000</x:v>
      </x:c>
      <x:c r="G7" s="32" t="n">
        <x:f>ROUND(G6*'Болжамдар'!$D$18,2)</x:f>
        <x:v>24000</x:v>
      </x:c>
      <x:c r="H7" s="32" t="n">
        <x:f>ROUND(H6*'Болжамдар'!$D$18,2)</x:f>
        <x:v>36000</x:v>
      </x:c>
      <x:c r="I7" s="32" t="n">
        <x:f>ROUND(I6*'Болжамдар'!$D$18,2)</x:f>
        <x:v>48000</x:v>
      </x:c>
      <x:c r="J7" s="32" t="n">
        <x:f>ROUND(J6*'Болжамдар'!$D$18,2)</x:f>
        <x:v>60000</x:v>
      </x:c>
      <x:c r="K7" s="32" t="n">
        <x:f>ROUND(K6*'Болжамдар'!$D$18,2)</x:f>
        <x:v>72000</x:v>
      </x:c>
      <x:c r="L7" s="32" t="n">
        <x:f>ROUND(L6*'Болжамдар'!$D$18,2)</x:f>
        <x:v>84000</x:v>
      </x:c>
      <x:c r="M7" s="32" t="n">
        <x:f>ROUND(M6*'Болжамдар'!$D$18,2)</x:f>
        <x:v>96000</x:v>
      </x:c>
      <x:c r="N7" s="32" t="n">
        <x:f>ROUND(N6*'Болжамдар'!$D$18,2)</x:f>
        <x:v>108000</x:v>
      </x:c>
      <x:c r="O7" s="32" t="n">
        <x:f>ROUND(O6*'Болжамдар'!$D$18,2)</x:f>
        <x:v>120000</x:v>
      </x:c>
      <x:c r="P7" s="33" t="n">
        <x:f>ROUND(SUM(D7:O7),2)</x:f>
        <x:v>678000</x:v>
      </x:c>
    </x:row>
    <x:row r="8" ht="23" customHeight="1">
      <x:c r="C8" s="3" t="str">
        <x:v>VPS жалдау</x:v>
      </x:c>
      <x:c r="D8" s="24" t="n">
        <x:f>ROUND('Болжамдар'!$D$21*'Болжамдар'!$D$22,2)</x:f>
        <x:v>23040</x:v>
      </x:c>
      <x:c r="E8" s="24" t="n">
        <x:f>ROUND('Болжамдар'!$D$21*'Болжамдар'!$D$22,2)</x:f>
        <x:v>23040</x:v>
      </x:c>
      <x:c r="F8" s="24" t="n">
        <x:f>ROUND('Болжамдар'!$D$21*'Болжамдар'!$D$22,2)</x:f>
        <x:v>23040</x:v>
      </x:c>
      <x:c r="G8" s="24" t="n">
        <x:f>ROUND('Болжамдар'!$D$21*'Болжамдар'!$D$22,2)</x:f>
        <x:v>23040</x:v>
      </x:c>
      <x:c r="H8" s="24" t="n">
        <x:f>ROUND('Болжамдар'!$D$21*'Болжамдар'!$D$22,2)</x:f>
        <x:v>23040</x:v>
      </x:c>
      <x:c r="I8" s="24" t="n">
        <x:f>ROUND('Болжамдар'!$D$21*'Болжамдар'!$D$22,2)</x:f>
        <x:v>23040</x:v>
      </x:c>
      <x:c r="J8" s="24" t="n">
        <x:f>ROUND('Болжамдар'!$D$21*'Болжамдар'!$D$22,2)</x:f>
        <x:v>23040</x:v>
      </x:c>
      <x:c r="K8" s="24" t="n">
        <x:f>ROUND('Болжамдар'!$D$21*'Болжамдар'!$D$22,2)</x:f>
        <x:v>23040</x:v>
      </x:c>
      <x:c r="L8" s="24" t="n">
        <x:f>ROUND('Болжамдар'!$D$21*'Болжамдар'!$D$22,2)</x:f>
        <x:v>23040</x:v>
      </x:c>
      <x:c r="M8" s="24" t="n">
        <x:f>ROUND('Болжамдар'!$D$21*'Болжамдар'!$D$22,2)</x:f>
        <x:v>23040</x:v>
      </x:c>
      <x:c r="N8" s="24" t="n">
        <x:f>ROUND('Болжамдар'!$D$21*'Болжамдар'!$D$22,2)</x:f>
        <x:v>23040</x:v>
      </x:c>
      <x:c r="O8" s="24" t="n">
        <x:f>ROUND('Болжамдар'!$D$21*'Болжамдар'!$D$22,2)</x:f>
        <x:v>23040</x:v>
      </x:c>
      <x:c r="P8" s="10" t="n">
        <x:f>ROUND(SUM(D8:O8),2)</x:f>
        <x:v>276480</x:v>
      </x:c>
    </x:row>
    <x:row r="9" ht="23" customHeight="1">
      <x:c r="C9" s="3" t="str">
        <x:v>Бөлек backup</x:v>
      </x:c>
      <x:c r="D9" s="24" t="n">
        <x:f>ROUND('Болжамдар'!$D$23,2)</x:f>
        <x:v>5000</x:v>
      </x:c>
      <x:c r="E9" s="24" t="n">
        <x:f>ROUND('Болжамдар'!$D$23,2)</x:f>
        <x:v>5000</x:v>
      </x:c>
      <x:c r="F9" s="24" t="n">
        <x:f>ROUND('Болжамдар'!$D$23,2)</x:f>
        <x:v>5000</x:v>
      </x:c>
      <x:c r="G9" s="24" t="n">
        <x:f>ROUND('Болжамдар'!$D$23,2)</x:f>
        <x:v>5000</x:v>
      </x:c>
      <x:c r="H9" s="24" t="n">
        <x:f>ROUND('Болжамдар'!$D$23,2)</x:f>
        <x:v>5000</x:v>
      </x:c>
      <x:c r="I9" s="24" t="n">
        <x:f>ROUND('Болжамдар'!$D$23,2)</x:f>
        <x:v>5000</x:v>
      </x:c>
      <x:c r="J9" s="24" t="n">
        <x:f>ROUND('Болжамдар'!$D$23,2)</x:f>
        <x:v>5000</x:v>
      </x:c>
      <x:c r="K9" s="24" t="n">
        <x:f>ROUND('Болжамдар'!$D$23,2)</x:f>
        <x:v>5000</x:v>
      </x:c>
      <x:c r="L9" s="24" t="n">
        <x:f>ROUND('Болжамдар'!$D$23,2)</x:f>
        <x:v>5000</x:v>
      </x:c>
      <x:c r="M9" s="24" t="n">
        <x:f>ROUND('Болжамдар'!$D$23,2)</x:f>
        <x:v>5000</x:v>
      </x:c>
      <x:c r="N9" s="24" t="n">
        <x:f>ROUND('Болжамдар'!$D$23,2)</x:f>
        <x:v>5000</x:v>
      </x:c>
      <x:c r="O9" s="24" t="n">
        <x:f>ROUND('Болжамдар'!$D$23,2)</x:f>
        <x:v>5000</x:v>
      </x:c>
      <x:c r="P9" s="10" t="n">
        <x:f>ROUND(SUM(D9:O9),2)</x:f>
        <x:v>60000</x:v>
      </x:c>
    </x:row>
    <x:row r="10" ht="23" customHeight="1">
      <x:c r="C10" s="3" t="str">
        <x:v>Техникалық қолдау</x:v>
      </x:c>
      <x:c r="D10" s="24" t="n">
        <x:f>ROUND('Болжамдар'!$D$15*'Болжамдар'!$D$11,2)</x:f>
        <x:v>42553.8</x:v>
      </x:c>
      <x:c r="E10" s="24" t="n">
        <x:f>ROUND('Болжамдар'!$D$15*'Болжамдар'!$D$11,2)</x:f>
        <x:v>42553.8</x:v>
      </x:c>
      <x:c r="F10" s="24" t="n">
        <x:f>ROUND('Болжамдар'!$D$15*'Болжамдар'!$D$11,2)</x:f>
        <x:v>42553.8</x:v>
      </x:c>
      <x:c r="G10" s="24" t="n">
        <x:f>ROUND('Болжамдар'!$D$15*'Болжамдар'!$D$11,2)</x:f>
        <x:v>42553.8</x:v>
      </x:c>
      <x:c r="H10" s="24" t="n">
        <x:f>ROUND('Болжамдар'!$D$15*'Болжамдар'!$D$11,2)</x:f>
        <x:v>42553.8</x:v>
      </x:c>
      <x:c r="I10" s="24" t="n">
        <x:f>ROUND('Болжамдар'!$D$15*'Болжамдар'!$D$11,2)</x:f>
        <x:v>42553.8</x:v>
      </x:c>
      <x:c r="J10" s="24" t="n">
        <x:f>ROUND('Болжамдар'!$D$15*'Болжамдар'!$D$11,2)</x:f>
        <x:v>42553.8</x:v>
      </x:c>
      <x:c r="K10" s="24" t="n">
        <x:f>ROUND('Болжамдар'!$D$15*'Болжамдар'!$D$11,2)</x:f>
        <x:v>42553.8</x:v>
      </x:c>
      <x:c r="L10" s="24" t="n">
        <x:f>ROUND('Болжамдар'!$D$15*'Болжамдар'!$D$11,2)</x:f>
        <x:v>42553.8</x:v>
      </x:c>
      <x:c r="M10" s="24" t="n">
        <x:f>ROUND('Болжамдар'!$D$15*'Болжамдар'!$D$11,2)</x:f>
        <x:v>42553.8</x:v>
      </x:c>
      <x:c r="N10" s="24" t="n">
        <x:f>ROUND('Болжамдар'!$D$15*'Болжамдар'!$D$11,2)</x:f>
        <x:v>42553.8</x:v>
      </x:c>
      <x:c r="O10" s="24" t="n">
        <x:f>ROUND('Болжамдар'!$D$15*'Болжамдар'!$D$11,2)</x:f>
        <x:v>42553.8</x:v>
      </x:c>
      <x:c r="P10" s="10" t="n">
        <x:f>ROUND(SUM(D10:O10),2)</x:f>
        <x:v>510645.6</x:v>
      </x:c>
    </x:row>
    <x:row r="11" ht="23" customHeight="1">
      <x:c r="C11" s="3" t="str">
        <x:v>Үздіксіз дамыту</x:v>
      </x:c>
      <x:c r="D11" s="24" t="n">
        <x:f>ROUND('Болжамдар'!$D$16*'Болжамдар'!$D$11,2)</x:f>
        <x:v>21276.9</x:v>
      </x:c>
      <x:c r="E11" s="24" t="n">
        <x:f>ROUND('Болжамдар'!$D$16*'Болжамдар'!$D$11,2)</x:f>
        <x:v>21276.9</x:v>
      </x:c>
      <x:c r="F11" s="24" t="n">
        <x:f>ROUND('Болжамдар'!$D$16*'Болжамдар'!$D$11,2)</x:f>
        <x:v>21276.9</x:v>
      </x:c>
      <x:c r="G11" s="24" t="n">
        <x:f>ROUND('Болжамдар'!$D$16*'Болжамдар'!$D$11,2)</x:f>
        <x:v>21276.9</x:v>
      </x:c>
      <x:c r="H11" s="24" t="n">
        <x:f>ROUND('Болжамдар'!$D$16*'Болжамдар'!$D$11,2)</x:f>
        <x:v>21276.9</x:v>
      </x:c>
      <x:c r="I11" s="24" t="n">
        <x:f>ROUND('Болжамдар'!$D$16*'Болжамдар'!$D$11,2)</x:f>
        <x:v>21276.9</x:v>
      </x:c>
      <x:c r="J11" s="24" t="n">
        <x:f>ROUND('Болжамдар'!$D$16*'Болжамдар'!$D$11,2)</x:f>
        <x:v>21276.9</x:v>
      </x:c>
      <x:c r="K11" s="24" t="n">
        <x:f>ROUND('Болжамдар'!$D$16*'Болжамдар'!$D$11,2)</x:f>
        <x:v>21276.9</x:v>
      </x:c>
      <x:c r="L11" s="24" t="n">
        <x:f>ROUND('Болжамдар'!$D$16*'Болжамдар'!$D$11,2)</x:f>
        <x:v>21276.9</x:v>
      </x:c>
      <x:c r="M11" s="24" t="n">
        <x:f>ROUND('Болжамдар'!$D$16*'Болжамдар'!$D$11,2)</x:f>
        <x:v>21276.9</x:v>
      </x:c>
      <x:c r="N11" s="24" t="n">
        <x:f>ROUND('Болжамдар'!$D$16*'Болжамдар'!$D$11,2)</x:f>
        <x:v>21276.9</x:v>
      </x:c>
      <x:c r="O11" s="24" t="n">
        <x:f>ROUND('Болжамдар'!$D$16*'Болжамдар'!$D$11,2)</x:f>
        <x:v>21276.9</x:v>
      </x:c>
      <x:c r="P11" s="10" t="n">
        <x:f>ROUND(SUM(D11:O11),2)</x:f>
        <x:v>255322.8</x:v>
      </x:c>
    </x:row>
    <x:row r="12" ht="23" customHeight="1">
      <x:c r="C12" s="3" t="str">
        <x:v>Айнымалы өңдеу</x:v>
      </x:c>
      <x:c r="D12" s="24" t="n">
        <x:f>ROUND(D5*'Болжамдар'!$D$17,2)</x:f>
        <x:v>800</x:v>
      </x:c>
      <x:c r="E12" s="24" t="n">
        <x:f>ROUND(E5*'Болжамдар'!$D$17,2)</x:f>
        <x:v>1200</x:v>
      </x:c>
      <x:c r="F12" s="24" t="n">
        <x:f>ROUND(F5*'Болжамдар'!$D$17,2)</x:f>
        <x:v>2000</x:v>
      </x:c>
      <x:c r="G12" s="24" t="n">
        <x:f>ROUND(G5*'Болжамдар'!$D$17,2)</x:f>
        <x:v>3200</x:v>
      </x:c>
      <x:c r="H12" s="24" t="n">
        <x:f>ROUND(H5*'Болжамдар'!$D$17,2)</x:f>
        <x:v>4800</x:v>
      </x:c>
      <x:c r="I12" s="24" t="n">
        <x:f>ROUND(I5*'Болжамдар'!$D$17,2)</x:f>
        <x:v>6400</x:v>
      </x:c>
      <x:c r="J12" s="24" t="n">
        <x:f>ROUND(J5*'Болжамдар'!$D$17,2)</x:f>
        <x:v>8000</x:v>
      </x:c>
      <x:c r="K12" s="24" t="n">
        <x:f>ROUND(K5*'Болжамдар'!$D$17,2)</x:f>
        <x:v>9600</x:v>
      </x:c>
      <x:c r="L12" s="24" t="n">
        <x:f>ROUND(L5*'Болжамдар'!$D$17,2)</x:f>
        <x:v>11200</x:v>
      </x:c>
      <x:c r="M12" s="24" t="n">
        <x:f>ROUND(M5*'Болжамдар'!$D$17,2)</x:f>
        <x:v>12800</x:v>
      </x:c>
      <x:c r="N12" s="24" t="n">
        <x:f>ROUND(N5*'Болжамдар'!$D$17,2)</x:f>
        <x:v>14400</x:v>
      </x:c>
      <x:c r="O12" s="24" t="n">
        <x:f>ROUND(O5*'Болжамдар'!$D$17,2)</x:f>
        <x:v>16000</x:v>
      </x:c>
      <x:c r="P12" s="10" t="n">
        <x:f>ROUND(SUM(D12:O12),2)</x:f>
        <x:v>90400</x:v>
      </x:c>
    </x:row>
    <x:row r="13" ht="23" customHeight="1">
      <x:c r="C13" s="3" t="str">
        <x:v>Домен жылдық төлемі</x:v>
      </x:c>
      <x:c r="D13" s="24" t="n">
        <x:f>ROUND('Болжамдар'!$D$20,2)</x:f>
        <x:v>9590</x:v>
      </x:c>
      <x:c r="E13" s="10" t="n">
        <x:f>ROUND(0,2)</x:f>
        <x:v>0</x:v>
      </x:c>
      <x:c r="F13" s="10" t="n">
        <x:f>ROUND(0,2)</x:f>
        <x:v>0</x:v>
      </x:c>
      <x:c r="G13" s="10" t="n">
        <x:f>ROUND(0,2)</x:f>
        <x:v>0</x:v>
      </x:c>
      <x:c r="H13" s="10" t="n">
        <x:f>ROUND(0,2)</x:f>
        <x:v>0</x:v>
      </x:c>
      <x:c r="I13" s="10" t="n">
        <x:f>ROUND(0,2)</x:f>
        <x:v>0</x:v>
      </x:c>
      <x:c r="J13" s="10" t="n">
        <x:f>ROUND(0,2)</x:f>
        <x:v>0</x:v>
      </x:c>
      <x:c r="K13" s="10" t="n">
        <x:f>ROUND(0,2)</x:f>
        <x:v>0</x:v>
      </x:c>
      <x:c r="L13" s="10" t="n">
        <x:f>ROUND(0,2)</x:f>
        <x:v>0</x:v>
      </x:c>
      <x:c r="M13" s="10" t="n">
        <x:f>ROUND(0,2)</x:f>
        <x:v>0</x:v>
      </x:c>
      <x:c r="N13" s="10" t="n">
        <x:f>ROUND(0,2)</x:f>
        <x:v>0</x:v>
      </x:c>
      <x:c r="O13" s="10" t="n">
        <x:f>ROUND(0,2)</x:f>
        <x:v>0</x:v>
      </x:c>
      <x:c r="P13" s="10" t="n">
        <x:f>ROUND(SUM(D13:O13),2)</x:f>
        <x:v>9590</x:v>
      </x:c>
    </x:row>
    <x:row r="14" ht="23" customHeight="1">
      <x:c r="C14" s="31" t="str">
        <x:v>Тұрақты және айнымалы OPEX</x:v>
      </x:c>
      <x:c r="D14" s="33" t="n">
        <x:f>ROUND(SUM(D8:D13),2)</x:f>
        <x:v>102260.7</x:v>
      </x:c>
      <x:c r="E14" s="33" t="n">
        <x:f>ROUND(SUM(E8:E13),2)</x:f>
        <x:v>93070.7</x:v>
      </x:c>
      <x:c r="F14" s="33" t="n">
        <x:f>ROUND(SUM(F8:F13),2)</x:f>
        <x:v>93870.7</x:v>
      </x:c>
      <x:c r="G14" s="33" t="n">
        <x:f>ROUND(SUM(G8:G13),2)</x:f>
        <x:v>95070.7</x:v>
      </x:c>
      <x:c r="H14" s="33" t="n">
        <x:f>ROUND(SUM(H8:H13),2)</x:f>
        <x:v>96670.7</x:v>
      </x:c>
      <x:c r="I14" s="33" t="n">
        <x:f>ROUND(SUM(I8:I13),2)</x:f>
        <x:v>98270.7</x:v>
      </x:c>
      <x:c r="J14" s="33" t="n">
        <x:f>ROUND(SUM(J8:J13),2)</x:f>
        <x:v>99870.7</x:v>
      </x:c>
      <x:c r="K14" s="33" t="n">
        <x:f>ROUND(SUM(K8:K13),2)</x:f>
        <x:v>101470.7</x:v>
      </x:c>
      <x:c r="L14" s="33" t="n">
        <x:f>ROUND(SUM(L8:L13),2)</x:f>
        <x:v>103070.7</x:v>
      </x:c>
      <x:c r="M14" s="33" t="n">
        <x:f>ROUND(SUM(M8:M13),2)</x:f>
        <x:v>104670.7</x:v>
      </x:c>
      <x:c r="N14" s="33" t="n">
        <x:f>ROUND(SUM(N8:N13),2)</x:f>
        <x:v>106270.7</x:v>
      </x:c>
      <x:c r="O14" s="33" t="n">
        <x:f>ROUND(SUM(O8:O13),2)</x:f>
        <x:v>107870.7</x:v>
      </x:c>
      <x:c r="P14" s="33" t="n">
        <x:f>ROUND(SUM(D14:O14),2)</x:f>
        <x:v>1202438.4</x:v>
      </x:c>
    </x:row>
    <x:row r="15" ht="23" customHeight="1">
      <x:c r="C15" s="3" t="str">
        <x:v>Бастапқы әзірлеу</x:v>
      </x:c>
      <x:c r="D15" s="24" t="n">
        <x:f>ROUND(('Болжамдар'!$D$13*'Болжамдар'!$D$11+'Болжамдар'!$D$14*'Болжамдар'!$D$12)/2,2)</x:f>
        <x:v>324146.49</x:v>
      </x:c>
      <x:c r="E15" s="24" t="n">
        <x:f>ROUND(('Болжамдар'!$D$13*'Болжамдар'!$D$11+'Болжамдар'!$D$14*'Болжамдар'!$D$12)/2,2)</x:f>
        <x:v>324146.49</x:v>
      </x:c>
      <x:c r="F15" s="10" t="n">
        <x:f>ROUND(0,2)</x:f>
        <x:v>0</x:v>
      </x:c>
      <x:c r="G15" s="10" t="n">
        <x:f>ROUND(0,2)</x:f>
        <x:v>0</x:v>
      </x:c>
      <x:c r="H15" s="10" t="n">
        <x:f>ROUND(0,2)</x:f>
        <x:v>0</x:v>
      </x:c>
      <x:c r="I15" s="10" t="n">
        <x:f>ROUND(0,2)</x:f>
        <x:v>0</x:v>
      </x:c>
      <x:c r="J15" s="10" t="n">
        <x:f>ROUND(0,2)</x:f>
        <x:v>0</x:v>
      </x:c>
      <x:c r="K15" s="10" t="n">
        <x:f>ROUND(0,2)</x:f>
        <x:v>0</x:v>
      </x:c>
      <x:c r="L15" s="10" t="n">
        <x:f>ROUND(0,2)</x:f>
        <x:v>0</x:v>
      </x:c>
      <x:c r="M15" s="10" t="n">
        <x:f>ROUND(0,2)</x:f>
        <x:v>0</x:v>
      </x:c>
      <x:c r="N15" s="10" t="n">
        <x:f>ROUND(0,2)</x:f>
        <x:v>0</x:v>
      </x:c>
      <x:c r="O15" s="10" t="n">
        <x:f>ROUND(0,2)</x:f>
        <x:v>0</x:v>
      </x:c>
      <x:c r="P15" s="10" t="n">
        <x:f>ROUND(SUM(D15:O15),2)</x:f>
        <x:v>648292.98</x:v>
      </x:c>
    </x:row>
    <x:row r="16" ht="23" customHeight="1">
      <x:c r="C16" s="3" t="str">
        <x:v>Өндірістік көшіру</x:v>
      </x:c>
      <x:c r="D16" s="24" t="n">
        <x:f>ROUND('Болжамдар'!$D$48*'Болжамдар'!$D$11,2)</x:f>
        <x:v>85107.6</x:v>
      </x:c>
      <x:c r="E16" s="10" t="n">
        <x:f>ROUND(0,2)</x:f>
        <x:v>0</x:v>
      </x:c>
      <x:c r="F16" s="10" t="n">
        <x:f>ROUND(0,2)</x:f>
        <x:v>0</x:v>
      </x:c>
      <x:c r="G16" s="10" t="n">
        <x:f>ROUND(0,2)</x:f>
        <x:v>0</x:v>
      </x:c>
      <x:c r="H16" s="10" t="n">
        <x:f>ROUND(0,2)</x:f>
        <x:v>0</x:v>
      </x:c>
      <x:c r="I16" s="10" t="n">
        <x:f>ROUND(0,2)</x:f>
        <x:v>0</x:v>
      </x:c>
      <x:c r="J16" s="10" t="n">
        <x:f>ROUND(0,2)</x:f>
        <x:v>0</x:v>
      </x:c>
      <x:c r="K16" s="10" t="n">
        <x:f>ROUND(0,2)</x:f>
        <x:v>0</x:v>
      </x:c>
      <x:c r="L16" s="10" t="n">
        <x:f>ROUND(0,2)</x:f>
        <x:v>0</x:v>
      </x:c>
      <x:c r="M16" s="10" t="n">
        <x:f>ROUND(0,2)</x:f>
        <x:v>0</x:v>
      </x:c>
      <x:c r="N16" s="10" t="n">
        <x:f>ROUND(0,2)</x:f>
        <x:v>0</x:v>
      </x:c>
      <x:c r="O16" s="10" t="n">
        <x:f>ROUND(0,2)</x:f>
        <x:v>0</x:v>
      </x:c>
      <x:c r="P16" s="10" t="n">
        <x:f>ROUND(SUM(D16:O16),2)</x:f>
        <x:v>85107.6</x:v>
      </x:c>
    </x:row>
    <x:row r="17" ht="23" customHeight="1">
      <x:c r="C17" s="31" t="str">
        <x:v>Жоспарлық негізгі шығын</x:v>
      </x:c>
      <x:c r="D17" s="33" t="n">
        <x:f>ROUND(SUM(D14:D16),2)</x:f>
        <x:v>511514.79</x:v>
      </x:c>
      <x:c r="E17" s="33" t="n">
        <x:f>ROUND(SUM(E14:E16),2)</x:f>
        <x:v>417217.19</x:v>
      </x:c>
      <x:c r="F17" s="33" t="n">
        <x:f>ROUND(SUM(F14:F16),2)</x:f>
        <x:v>93870.7</x:v>
      </x:c>
      <x:c r="G17" s="33" t="n">
        <x:f>ROUND(SUM(G14:G16),2)</x:f>
        <x:v>95070.7</x:v>
      </x:c>
      <x:c r="H17" s="33" t="n">
        <x:f>ROUND(SUM(H14:H16),2)</x:f>
        <x:v>96670.7</x:v>
      </x:c>
      <x:c r="I17" s="33" t="n">
        <x:f>ROUND(SUM(I14:I16),2)</x:f>
        <x:v>98270.7</x:v>
      </x:c>
      <x:c r="J17" s="33" t="n">
        <x:f>ROUND(SUM(J14:J16),2)</x:f>
        <x:v>99870.7</x:v>
      </x:c>
      <x:c r="K17" s="33" t="n">
        <x:f>ROUND(SUM(K14:K16),2)</x:f>
        <x:v>101470.7</x:v>
      </x:c>
      <x:c r="L17" s="33" t="n">
        <x:f>ROUND(SUM(L14:L16),2)</x:f>
        <x:v>103070.7</x:v>
      </x:c>
      <x:c r="M17" s="33" t="n">
        <x:f>ROUND(SUM(M14:M16),2)</x:f>
        <x:v>104670.7</x:v>
      </x:c>
      <x:c r="N17" s="33" t="n">
        <x:f>ROUND(SUM(N14:N16),2)</x:f>
        <x:v>106270.7</x:v>
      </x:c>
      <x:c r="O17" s="33" t="n">
        <x:f>ROUND(SUM(O14:O16),2)</x:f>
        <x:v>107870.7</x:v>
      </x:c>
      <x:c r="P17" s="33" t="n">
        <x:f>ROUND(SUM(D17:O17),2)</x:f>
        <x:v>1935838.98</x:v>
      </x:c>
    </x:row>
    <x:row r="18" ht="23" customHeight="1">
      <x:c r="C18" s="31" t="str">
        <x:v>Негізгі таза ағын</x:v>
      </x:c>
      <x:c r="D18" s="33" t="n">
        <x:f>ROUND(D7-D17,2)</x:f>
        <x:v>-505514.79</x:v>
      </x:c>
      <x:c r="E18" s="33" t="n">
        <x:f>ROUND(E7-E17,2)</x:f>
        <x:v>-408217.19</x:v>
      </x:c>
      <x:c r="F18" s="33" t="n">
        <x:f>ROUND(F7-F17,2)</x:f>
        <x:v>-78870.7</x:v>
      </x:c>
      <x:c r="G18" s="33" t="n">
        <x:f>ROUND(G7-G17,2)</x:f>
        <x:v>-71070.7</x:v>
      </x:c>
      <x:c r="H18" s="33" t="n">
        <x:f>ROUND(H7-H17,2)</x:f>
        <x:v>-60670.7</x:v>
      </x:c>
      <x:c r="I18" s="33" t="n">
        <x:f>ROUND(I7-I17,2)</x:f>
        <x:v>-50270.7</x:v>
      </x:c>
      <x:c r="J18" s="33" t="n">
        <x:f>ROUND(J7-J17,2)</x:f>
        <x:v>-39870.7</x:v>
      </x:c>
      <x:c r="K18" s="33" t="n">
        <x:f>ROUND(K7-K17,2)</x:f>
        <x:v>-29470.7</x:v>
      </x:c>
      <x:c r="L18" s="33" t="n">
        <x:f>ROUND(L7-L17,2)</x:f>
        <x:v>-19070.7</x:v>
      </x:c>
      <x:c r="M18" s="33" t="n">
        <x:f>ROUND(M7-M17,2)</x:f>
        <x:v>-8670.7</x:v>
      </x:c>
      <x:c r="N18" s="33" t="n">
        <x:f>ROUND(N7-N17,2)</x:f>
        <x:v>1729.3</x:v>
      </x:c>
      <x:c r="O18" s="33" t="n">
        <x:f>ROUND(O7-O17,2)</x:f>
        <x:v>12129.3</x:v>
      </x:c>
      <x:c r="P18" s="33" t="n">
        <x:f>ROUND(SUM(D18:O18),2)</x:f>
        <x:v>-1257838.98</x:v>
      </x:c>
    </x:row>
    <x:row r="19" ht="23" customHeight="1">
      <x:c r="C19" s="3" t="str">
        <x:v>Жинақталған таза ағын</x:v>
      </x:c>
      <x:c r="D19" s="10" t="n">
        <x:f>ROUND(D18,2)</x:f>
        <x:v>-505514.79</x:v>
      </x:c>
      <x:c r="E19" s="10" t="n">
        <x:f>ROUND(D19+E18,2)</x:f>
        <x:v>-913731.98</x:v>
      </x:c>
      <x:c r="F19" s="10" t="n">
        <x:f>ROUND(E19+F18,2)</x:f>
        <x:v>-992602.68</x:v>
      </x:c>
      <x:c r="G19" s="10" t="n">
        <x:f>ROUND(F19+G18,2)</x:f>
        <x:v>-1063673.38</x:v>
      </x:c>
      <x:c r="H19" s="10" t="n">
        <x:f>ROUND(G19+H18,2)</x:f>
        <x:v>-1124344.08</x:v>
      </x:c>
      <x:c r="I19" s="10" t="n">
        <x:f>ROUND(H19+I18,2)</x:f>
        <x:v>-1174614.78</x:v>
      </x:c>
      <x:c r="J19" s="10" t="n">
        <x:f>ROUND(I19+J18,2)</x:f>
        <x:v>-1214485.48</x:v>
      </x:c>
      <x:c r="K19" s="10" t="n">
        <x:f>ROUND(J19+K18,2)</x:f>
        <x:v>-1243956.18</x:v>
      </x:c>
      <x:c r="L19" s="10" t="n">
        <x:f>ROUND(K19+L18,2)</x:f>
        <x:v>-1263026.88</x:v>
      </x:c>
      <x:c r="M19" s="10" t="n">
        <x:f>ROUND(L19+M18,2)</x:f>
        <x:v>-1271697.58</x:v>
      </x:c>
      <x:c r="N19" s="10" t="n">
        <x:f>ROUND(M19+N18,2)</x:f>
        <x:v>-1269968.28</x:v>
      </x:c>
      <x:c r="O19" s="10" t="n">
        <x:f>ROUND(N19+O18,2)</x:f>
        <x:v>-1257838.98</x:v>
      </x:c>
      <x:c r="P19" s="10" t="n">
        <x:f>O19</x:f>
        <x:v>-1257838.98</x:v>
      </x:c>
    </x:row>
    <x:row r="20" ht="23" customHeight="1"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3" customHeight="1">
      <x:c r="C21" s="3" t="str">
        <x:v>Белгілі тәуекел резерві</x:v>
      </x:c>
      <x:c r="D21" s="24" t="n">
        <x:f>ROUND('Болжамдар'!$D$44*'Болжамдар'!$D$11,2)</x:f>
        <x:v>159576.75</x:v>
      </x:c>
      <x:c r="E21" s="10" t="n">
        <x:f>ROUND(0,2)</x:f>
        <x:v>0</x:v>
      </x:c>
      <x:c r="F21" s="10" t="n">
        <x:f>ROUND(0,2)</x:f>
        <x:v>0</x:v>
      </x:c>
      <x:c r="G21" s="10" t="n">
        <x:f>ROUND(0,2)</x:f>
        <x:v>0</x:v>
      </x:c>
      <x:c r="H21" s="10" t="n">
        <x:f>ROUND(0,2)</x:f>
        <x:v>0</x:v>
      </x:c>
      <x:c r="I21" s="10" t="n">
        <x:f>ROUND(0,2)</x:f>
        <x:v>0</x:v>
      </x:c>
      <x:c r="J21" s="10" t="n">
        <x:f>ROUND(0,2)</x:f>
        <x:v>0</x:v>
      </x:c>
      <x:c r="K21" s="10" t="n">
        <x:f>ROUND(0,2)</x:f>
        <x:v>0</x:v>
      </x:c>
      <x:c r="L21" s="10" t="n">
        <x:f>ROUND(0,2)</x:f>
        <x:v>0</x:v>
      </x:c>
      <x:c r="M21" s="10" t="n">
        <x:f>ROUND(0,2)</x:f>
        <x:v>0</x:v>
      </x:c>
      <x:c r="N21" s="10" t="n">
        <x:f>ROUND(0,2)</x:f>
        <x:v>0</x:v>
      </x:c>
      <x:c r="O21" s="10" t="n">
        <x:f>ROUND(0,2)</x:f>
        <x:v>0</x:v>
      </x:c>
      <x:c r="P21" s="10" t="n">
        <x:f>ROUND(SUM(D21:O21),2)</x:f>
        <x:v>159576.75</x:v>
      </x:c>
    </x:row>
    <x:row r="22" ht="23" customHeight="1">
      <x:c r="C22" s="3" t="str">
        <x:v>Басқарушылық резерв</x:v>
      </x:c>
      <x:c r="D22" s="24" t="n">
        <x:f>ROUND('Болжамдар'!$D$45*'Болжамдар'!$D$11,2)</x:f>
        <x:v>47873.03</x:v>
      </x:c>
      <x:c r="E22" s="10" t="n">
        <x:f>ROUND(0,2)</x:f>
        <x:v>0</x:v>
      </x:c>
      <x:c r="F22" s="10" t="n">
        <x:f>ROUND(0,2)</x:f>
        <x:v>0</x:v>
      </x:c>
      <x:c r="G22" s="10" t="n">
        <x:f>ROUND(0,2)</x:f>
        <x:v>0</x:v>
      </x:c>
      <x:c r="H22" s="10" t="n">
        <x:f>ROUND(0,2)</x:f>
        <x:v>0</x:v>
      </x:c>
      <x:c r="I22" s="10" t="n">
        <x:f>ROUND(0,2)</x:f>
        <x:v>0</x:v>
      </x:c>
      <x:c r="J22" s="10" t="n">
        <x:f>ROUND(0,2)</x:f>
        <x:v>0</x:v>
      </x:c>
      <x:c r="K22" s="10" t="n">
        <x:f>ROUND(0,2)</x:f>
        <x:v>0</x:v>
      </x:c>
      <x:c r="L22" s="10" t="n">
        <x:f>ROUND(0,2)</x:f>
        <x:v>0</x:v>
      </x:c>
      <x:c r="M22" s="10" t="n">
        <x:f>ROUND(0,2)</x:f>
        <x:v>0</x:v>
      </x:c>
      <x:c r="N22" s="10" t="n">
        <x:f>ROUND(0,2)</x:f>
        <x:v>0</x:v>
      </x:c>
      <x:c r="O22" s="10" t="n">
        <x:f>ROUND(0,2)</x:f>
        <x:v>0</x:v>
      </x:c>
      <x:c r="P22" s="10" t="n">
        <x:f>ROUND(SUM(D22:O22),2)</x:f>
        <x:v>47873.03</x:v>
      </x:c>
    </x:row>
    <x:row r="23" ht="23" customHeight="1">
      <x:c r="C23" s="31" t="str">
        <x:v>Резервпен қаржыландыру шегі</x:v>
      </x:c>
      <x:c r="D23" s="33" t="n">
        <x:f>ROUND(SUM(D17,D21:D22),2)</x:f>
        <x:v>718964.57</x:v>
      </x:c>
      <x:c r="E23" s="33" t="n">
        <x:f>ROUND(SUM(E17,E21:E22),2)</x:f>
        <x:v>417217.19</x:v>
      </x:c>
      <x:c r="F23" s="33" t="n">
        <x:f>ROUND(SUM(F17,F21:F22),2)</x:f>
        <x:v>93870.7</x:v>
      </x:c>
      <x:c r="G23" s="33" t="n">
        <x:f>ROUND(SUM(G17,G21:G22),2)</x:f>
        <x:v>95070.7</x:v>
      </x:c>
      <x:c r="H23" s="33" t="n">
        <x:f>ROUND(SUM(H17,H21:H22),2)</x:f>
        <x:v>96670.7</x:v>
      </x:c>
      <x:c r="I23" s="33" t="n">
        <x:f>ROUND(SUM(I17,I21:I22),2)</x:f>
        <x:v>98270.7</x:v>
      </x:c>
      <x:c r="J23" s="33" t="n">
        <x:f>ROUND(SUM(J17,J21:J22),2)</x:f>
        <x:v>99870.7</x:v>
      </x:c>
      <x:c r="K23" s="33" t="n">
        <x:f>ROUND(SUM(K17,K21:K22),2)</x:f>
        <x:v>101470.7</x:v>
      </x:c>
      <x:c r="L23" s="33" t="n">
        <x:f>ROUND(SUM(L17,L21:L22),2)</x:f>
        <x:v>103070.7</x:v>
      </x:c>
      <x:c r="M23" s="33" t="n">
        <x:f>ROUND(SUM(M17,M21:M22),2)</x:f>
        <x:v>104670.7</x:v>
      </x:c>
      <x:c r="N23" s="33" t="n">
        <x:f>ROUND(SUM(N17,N21:N22),2)</x:f>
        <x:v>106270.7</x:v>
      </x:c>
      <x:c r="O23" s="33" t="n">
        <x:f>ROUND(SUM(O17,O21:O22),2)</x:f>
        <x:v>107870.7</x:v>
      </x:c>
      <x:c r="P23" s="33" t="n">
        <x:f>ROUND(SUM(D23:O23),2)</x:f>
        <x:v>2143288.76</x:v>
      </x:c>
    </x:row>
    <x:row r="24" ht="23" customHeight="1">
      <x:c r="C24" s="3" t="str">
        <x:v>Негізгі өзіндік құн / MAU</x:v>
      </x:c>
      <x:c r="D24" s="10" t="n">
        <x:f>IF(D5=0,"қолданылмайды",D17/D5)</x:f>
        <x:v>5115.1479</x:v>
      </x:c>
      <x:c r="E24" s="10" t="n">
        <x:f>IF(E5=0,"қолданылмайды",E17/E5)</x:f>
        <x:v>2781.4479333333334</x:v>
      </x:c>
      <x:c r="F24" s="10" t="n">
        <x:f>IF(F5=0,"қолданылмайды",F17/F5)</x:f>
        <x:v>375.4828</x:v>
      </x:c>
      <x:c r="G24" s="10" t="n">
        <x:f>IF(G5=0,"қолданылмайды",G17/G5)</x:f>
        <x:v>237.67675</x:v>
      </x:c>
      <x:c r="H24" s="10" t="n">
        <x:f>IF(H5=0,"қолданылмайды",H17/H5)</x:f>
        <x:v>161.11783333333332</x:v>
      </x:c>
      <x:c r="I24" s="10" t="n">
        <x:f>IF(I5=0,"қолданылмайды",I17/I5)</x:f>
        <x:v>122.838375</x:v>
      </x:c>
      <x:c r="J24" s="10" t="n">
        <x:f>IF(J5=0,"қолданылмайды",J17/J5)</x:f>
        <x:v>99.8707</x:v>
      </x:c>
      <x:c r="K24" s="10" t="n">
        <x:f>IF(K5=0,"қолданылмайды",K17/K5)</x:f>
        <x:v>84.55891666666666</x:v>
      </x:c>
      <x:c r="L24" s="10" t="n">
        <x:f>IF(L5=0,"қолданылмайды",L17/L5)</x:f>
        <x:v>73.62192857142857</x:v>
      </x:c>
      <x:c r="M24" s="10" t="n">
        <x:f>IF(M5=0,"қолданылмайды",M17/M5)</x:f>
        <x:v>65.41918749999999</x:v>
      </x:c>
      <x:c r="N24" s="10" t="n">
        <x:f>IF(N5=0,"қолданылмайды",N17/N5)</x:f>
        <x:v>59.03927777777778</x:v>
      </x:c>
      <x:c r="O24" s="10" t="n">
        <x:f>IF(O5=0,"қолданылмайды",O17/O5)</x:f>
        <x:v>53.93535</x:v>
      </x:c>
      <x:c r="P24" s="10" t="n">
        <x:f>P17/P5</x:f>
        <x:v>171.31318407079647</x:v>
      </x:c>
    </x:row>
    <x:row r="25" ht="23" customHeight="1">
      <x:c r="C25" s="3" t="str">
        <x:v>Негізгі өзіндік құн / сапар</x:v>
      </x:c>
      <x:c r="D25" s="10" t="n">
        <x:f>IF(D6=0,"қолданылмайды",D17/D6)</x:f>
        <x:v>5115.1479</x:v>
      </x:c>
      <x:c r="E25" s="10" t="n">
        <x:f>IF(E6=0,"қолданылмайды",E17/E6)</x:f>
        <x:v>2781.4479333333334</x:v>
      </x:c>
      <x:c r="F25" s="10" t="n">
        <x:f>IF(F6=0,"қолданылмайды",F17/F6)</x:f>
        <x:v>375.4828</x:v>
      </x:c>
      <x:c r="G25" s="10" t="n">
        <x:f>IF(G6=0,"қолданылмайды",G17/G6)</x:f>
        <x:v>237.67675</x:v>
      </x:c>
      <x:c r="H25" s="10" t="n">
        <x:f>IF(H6=0,"қолданылмайды",H17/H6)</x:f>
        <x:v>161.11783333333332</x:v>
      </x:c>
      <x:c r="I25" s="10" t="n">
        <x:f>IF(I6=0,"қолданылмайды",I17/I6)</x:f>
        <x:v>122.838375</x:v>
      </x:c>
      <x:c r="J25" s="10" t="n">
        <x:f>IF(J6=0,"қолданылмайды",J17/J6)</x:f>
        <x:v>99.8707</x:v>
      </x:c>
      <x:c r="K25" s="10" t="n">
        <x:f>IF(K6=0,"қолданылмайды",K17/K6)</x:f>
        <x:v>84.55891666666666</x:v>
      </x:c>
      <x:c r="L25" s="10" t="n">
        <x:f>IF(L6=0,"қолданылмайды",L17/L6)</x:f>
        <x:v>73.62192857142857</x:v>
      </x:c>
      <x:c r="M25" s="10" t="n">
        <x:f>IF(M6=0,"қолданылмайды",M17/M6)</x:f>
        <x:v>65.41918749999999</x:v>
      </x:c>
      <x:c r="N25" s="10" t="n">
        <x:f>IF(N6=0,"қолданылмайды",N17/N6)</x:f>
        <x:v>59.03927777777778</x:v>
      </x:c>
      <x:c r="O25" s="10" t="n">
        <x:f>IF(O6=0,"қолданылмайды",O17/O6)</x:f>
        <x:v>53.93535</x:v>
      </x:c>
      <x:c r="P25" s="10" t="n">
        <x:f>P17/P6</x:f>
        <x:v>171.31318407079647</x:v>
      </x:c>
    </x:row>
    <x:row r="26" ht="23" customHeight="1">
      <x:c r="C26" s="3" t="str">
        <x:v>Резервпен таза ағын</x:v>
      </x:c>
      <x:c r="D26" s="10" t="n">
        <x:f>D7-D23</x:f>
        <x:v>-712964.57</x:v>
      </x:c>
      <x:c r="E26" s="10" t="n">
        <x:f>E7-E23</x:f>
        <x:v>-408217.19</x:v>
      </x:c>
      <x:c r="F26" s="10" t="n">
        <x:f>F7-F23</x:f>
        <x:v>-78870.7</x:v>
      </x:c>
      <x:c r="G26" s="10" t="n">
        <x:f>G7-G23</x:f>
        <x:v>-71070.7</x:v>
      </x:c>
      <x:c r="H26" s="10" t="n">
        <x:f>H7-H23</x:f>
        <x:v>-60670.7</x:v>
      </x:c>
      <x:c r="I26" s="10" t="n">
        <x:f>I7-I23</x:f>
        <x:v>-50270.7</x:v>
      </x:c>
      <x:c r="J26" s="10" t="n">
        <x:f>J7-J23</x:f>
        <x:v>-39870.7</x:v>
      </x:c>
      <x:c r="K26" s="10" t="n">
        <x:f>K7-K23</x:f>
        <x:v>-29470.699999999997</x:v>
      </x:c>
      <x:c r="L26" s="10" t="n">
        <x:f>L7-L23</x:f>
        <x:v>-19070.699999999997</x:v>
      </x:c>
      <x:c r="M26" s="10" t="n">
        <x:f>M7-M23</x:f>
        <x:v>-8670.699999999997</x:v>
      </x:c>
      <x:c r="N26" s="10" t="n">
        <x:f>N7-N23</x:f>
        <x:v>1729.300000000003</x:v>
      </x:c>
      <x:c r="O26" s="10" t="n">
        <x:f>O7-O23</x:f>
        <x:v>12129.300000000003</x:v>
      </x:c>
      <x:c r="P26" s="10" t="n">
        <x:f>ROUND(SUM(D26:O26),2)</x:f>
        <x:v>-1465288.76</x:v>
      </x:c>
    </x:row>
    <x:row r="27" ht="23" customHeight="1">
      <x:c r="C27" s="3" t="str">
        <x:v>OPEX / MAU</x:v>
      </x:c>
      <x:c r="D27" s="10" t="n">
        <x:f>IF(D5=0,"қолданылмайды",D14/D5)</x:f>
        <x:v>1022.607</x:v>
      </x:c>
      <x:c r="E27" s="10" t="n">
        <x:f>IF(E5=0,"қолданылмайды",E14/E5)</x:f>
        <x:v>620.4713333333333</x:v>
      </x:c>
      <x:c r="F27" s="10" t="n">
        <x:f>IF(F5=0,"қолданылмайды",F14/F5)</x:f>
        <x:v>375.4828</x:v>
      </x:c>
      <x:c r="G27" s="10" t="n">
        <x:f>IF(G5=0,"қолданылмайды",G14/G5)</x:f>
        <x:v>237.67675</x:v>
      </x:c>
      <x:c r="H27" s="10" t="n">
        <x:f>IF(H5=0,"қолданылмайды",H14/H5)</x:f>
        <x:v>161.11783333333332</x:v>
      </x:c>
      <x:c r="I27" s="10" t="n">
        <x:f>IF(I5=0,"қолданылмайды",I14/I5)</x:f>
        <x:v>122.838375</x:v>
      </x:c>
      <x:c r="J27" s="10" t="n">
        <x:f>IF(J5=0,"қолданылмайды",J14/J5)</x:f>
        <x:v>99.8707</x:v>
      </x:c>
      <x:c r="K27" s="10" t="n">
        <x:f>IF(K5=0,"қолданылмайды",K14/K5)</x:f>
        <x:v>84.55891666666666</x:v>
      </x:c>
      <x:c r="L27" s="10" t="n">
        <x:f>IF(L5=0,"қолданылмайды",L14/L5)</x:f>
        <x:v>73.62192857142857</x:v>
      </x:c>
      <x:c r="M27" s="10" t="n">
        <x:f>IF(M5=0,"қолданылмайды",M14/M5)</x:f>
        <x:v>65.41918749999999</x:v>
      </x:c>
      <x:c r="N27" s="10" t="n">
        <x:f>IF(N5=0,"қолданылмайды",N14/N5)</x:f>
        <x:v>59.03927777777778</x:v>
      </x:c>
      <x:c r="O27" s="10" t="n">
        <x:f>IF(O5=0,"қолданылмайды",O14/O5)</x:f>
        <x:v>53.93535</x:v>
      </x:c>
      <x:c r="P27" s="10" t="n">
        <x:f>P14/P5</x:f>
        <x:v>106.41047787610619</x:v>
      </x:c>
    </x:row>
    <x:row r="28" ht="23" customHeight="1"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3" customHeight="1">
      <x:c r="C29" s="3" t="str">
        <x:v>Еңбек сағаттарының айырмасы</x:v>
      </x:c>
      <x:c r="D29" s="24" t="n">
        <x:f>'Болжамдар'!D13+'Болжамдар'!D14-'Болжамдар'!D6</x:f>
        <x:v>0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3" customHeight="1">
      <x:c r="C30" s="3" t="str">
        <x:v>Жылдық баптар айырмасы</x:v>
      </x:c>
      <x:c r="D30" s="10" t="n">
        <x:f>ROUND(P17-SUM(P8:P13,P15:P16),2)</x:f>
        <x:v>0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3" customHeight="1"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3" customHeight="1">
      <x:c r="C32" s="3" t="str">
        <x:v>Түсім мен MAU — пилотта расталмаған сценарий. Резерв шығынға қосылмайды, қаржыландыру шегінде бөлек.</x:v>
      </x:c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3" customHeight="1"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3" customHeight="1"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3" customHeight="1"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3" customHeight="1"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3" customHeight="1"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3" customHeight="1"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3" customHeight="1"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3" customHeight="1"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3" customHeight="1"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3" customHeight="1"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3" customHeight="1"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3" customHeight="1"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3" customHeight="1"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3" customHeight="1"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3" customHeight="1"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3" customHeight="1"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3" customHeight="1"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3" customHeight="1"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3" customHeight="1"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3" customHeight="1"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56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Бір пайдаланушы мен сапардың экономикасы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Көрсеткіш</x:v>
      </x:c>
      <x:c r="D4" s="8" t="str">
        <x:v>Мәні</x:v>
      </x:c>
      <x:c r="E4" s="8" t="str">
        <x:v>Бірлік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3" customHeight="1">
      <x:c r="C5" s="3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3" customHeight="1">
      <x:c r="C6" s="3" t="str">
        <x:v>Тұрақты айлық OPEX</x:v>
      </x:c>
      <x:c r="D6" s="24" t="n">
        <x:f>SUM('Бюджет'!D8:D11)+'Болжамдар'!D20/12</x:f>
        <x:v>92669.86666666668</x:v>
      </x:c>
      <x:c r="E6" s="4" t="str">
        <x:v>₸/ай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23" customHeight="1">
      <x:c r="C7" s="3" t="str">
        <x:v>Бір MAU түсімі</x:v>
      </x:c>
      <x:c r="D7" s="24" t="n">
        <x:f>'Болжамдар'!D18*'Болжамдар'!D19</x:f>
        <x:v>60</x:v>
      </x:c>
      <x:c r="E7" s="4" t="str">
        <x:v>₸/MAU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23" customHeight="1">
      <x:c r="C8" s="3" t="str">
        <x:v>Бір MAU айнымалы шығыны</x:v>
      </x:c>
      <x:c r="D8" s="24" t="n">
        <x:f>'Болжамдар'!D17</x:f>
        <x:v>8</x:v>
      </x:c>
      <x:c r="E8" s="4" t="str">
        <x:v>₸/MAU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23" customHeight="1">
      <x:c r="C9" s="3" t="str">
        <x:v>Бір MAU маржиналдық түсімі</x:v>
      </x:c>
      <x:c r="D9" s="10" t="n">
        <x:f>D7-D8</x:f>
        <x:v>52</x:v>
      </x:c>
      <x:c r="E9" s="4" t="str">
        <x:v>₸/MAU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ht="23" customHeight="1">
      <x:c r="C10" s="3" t="str">
        <x:v>Операциялық залалсыздық MAU</x:v>
      </x:c>
      <x:c r="D10" s="10" t="n">
        <x:f>IF(D9&lt;=0,"шек жоқ",ROUNDUP(D6/D9,0))</x:f>
        <x:v>1783</x:v>
      </x:c>
      <x:c r="E10" s="4" t="str">
        <x:v>MAU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23" customHeight="1">
      <x:c r="C11" s="3" t="str">
        <x:v>Бастапқы әзірлеу мен көшіру</x:v>
      </x:c>
      <x:c r="D11" s="24" t="n">
        <x:f>SUM('Бюджет'!P15:P16)</x:f>
        <x:v>733400.58</x:v>
      </x:c>
      <x:c r="E11" s="4" t="str">
        <x:v>₸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23" customHeight="1">
      <x:c r="C12" s="3" t="str">
        <x:v>12 айда бастапқы шығынды өтеу MAU</x:v>
      </x:c>
      <x:c r="D12" s="10" t="n">
        <x:f>IF(D9&lt;=0,"шек жоқ",ROUNDUP((D6+D11/12)/D9,0))</x:f>
        <x:v>2958</x:v>
      </x:c>
      <x:c r="E12" s="4" t="str">
        <x:v>MAU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3" customHeight="1">
      <x:c r="C13" s="3" t="str">
        <x:v>Резервпен 12 айлық өтеу MAU</x:v>
      </x:c>
      <x:c r="D13" s="24" t="n">
        <x:f>IF(D9&lt;=0,"шек жоқ",ROUNDUP((D6+(D11+SUM('Бюджет'!P21:P22))/12)/D9,0))</x:f>
        <x:v>3290</x:v>
      </x:c>
      <x:c r="E13" s="4" t="str">
        <x:v>MAU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23" customHeight="1">
      <x:c r="C14" s="3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23" customHeight="1">
      <x:c r="C15" s="3" t="str">
        <x:v>1 сапарды қолмен өңдеу</x:v>
      </x:c>
      <x:c r="D15" s="24" t="n">
        <x:f>'Болжамдар'!D46/60*'Болжамдар'!D12</x:f>
        <x:v>682.5802083333333</x:v>
      </x:c>
      <x:c r="E15" s="4" t="str">
        <x:v>₸/сапар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23" customHeight="1">
      <x:c r="C16" s="3" t="str">
        <x:v>Қолмен өңдеуден үнем / MAU</x:v>
      </x:c>
      <x:c r="D16" s="24" t="n">
        <x:f>D15*'Болжамдар'!D19-D8</x:f>
        <x:v>674.5802083333333</x:v>
      </x:c>
      <x:c r="E16" s="4" t="str">
        <x:v>₸/MAU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23" customHeight="1">
      <x:c r="C17" s="3" t="str">
        <x:v>Автоматтандыру OPEX арзан болатын MAU</x:v>
      </x:c>
      <x:c r="D17" s="10" t="n">
        <x:f>IF(D16&lt;=0,"шек жоқ",ROUNDUP(D6/D16,0))</x:f>
        <x:v>138</x:v>
      </x:c>
      <x:c r="E17" s="4" t="str">
        <x:v>MAU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23" customHeight="1">
      <x:c r="C18" s="3" t="str">
        <x:v>Бастапқы шығынмен автоматтандыру MAU</x:v>
      </x:c>
      <x:c r="D18" s="10" t="n">
        <x:f>IF(D16&lt;=0,"шек жоқ",ROUNDUP((D6+D11/12)/D16,0))</x:f>
        <x:v>228</x:v>
      </x:c>
      <x:c r="E18" s="4" t="str">
        <x:v>MAU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23" customHeight="1"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3" customHeight="1">
      <x:c r="C20" s="3" t="str">
        <x:v>Жылдық негізгі шығын</x:v>
      </x:c>
      <x:c r="D20" s="24" t="n">
        <x:f>'Бюджет'!P17</x:f>
        <x:v>1935838.98</x:v>
      </x:c>
      <x:c r="E20" s="4" t="str">
        <x:v>₸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3" customHeight="1">
      <x:c r="C21" s="3" t="str">
        <x:v>Жылдық сценарийлік түсім</x:v>
      </x:c>
      <x:c r="D21" s="24" t="n">
        <x:f>'Бюджет'!P7</x:f>
        <x:v>678000</x:v>
      </x:c>
      <x:c r="E21" s="4" t="str">
        <x:v>₸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3" customHeight="1">
      <x:c r="C22" s="3" t="str">
        <x:v>Жылдық негізгі қаржы алшақтығы</x:v>
      </x:c>
      <x:c r="D22" s="10" t="n">
        <x:f>D20-D21</x:f>
        <x:v>1257838.98</x:v>
      </x:c>
      <x:c r="E22" s="4" t="str">
        <x:v>₸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3" customHeight="1">
      <x:c r="C23" s="3" t="str">
        <x:v>Шыңдық жинақталған тапшылық</x:v>
      </x:c>
      <x:c r="D23" s="24" t="n">
        <x:f>MAX(0,-MIN('Бюджет'!D19:O19))</x:f>
        <x:v>1271697.58</x:v>
      </x:c>
      <x:c r="E23" s="4" t="str">
        <x:v>₸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3" customHeight="1">
      <x:c r="C24" s="3" t="str">
        <x:v>Резервпен қажет бастапқы қаржы</x:v>
      </x:c>
      <x:c r="D24" s="24" t="n">
        <x:f>ROUNDUP(D23+SUM('Бюджет'!P21:P22),0)</x:f>
        <x:v>1479148</x:v>
      </x:c>
      <x:c r="E24" s="4" t="str">
        <x:v>₸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3" customHeight="1">
      <x:c r="C25" s="3" t="str">
        <x:v>Орташа MAU</x:v>
      </x:c>
      <x:c r="D25" s="24" t="n">
        <x:f>'Бюджет'!P5/12</x:f>
        <x:v>941.6666666666666</x:v>
      </x:c>
      <x:c r="E25" s="4" t="str">
        <x:v>MAU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3" customHeight="1">
      <x:c r="C26" s="3" t="str">
        <x:v>Соңғы ай OPEX / MAU</x:v>
      </x:c>
      <x:c r="D26" s="24" t="n">
        <x:f>'Бюджет'!O27</x:f>
        <x:v>53.93535</x:v>
      </x:c>
      <x:c r="E26" s="4" t="str">
        <x:v>₸/MAU</x:v>
      </x:c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3" customHeight="1"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3" customHeight="1"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3" customHeight="1"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32" customHeight="1">
      <x:c r="C30" s="8" t="str">
        <x:v>Тұрақты MAU</x:v>
      </x:c>
      <x:c r="D30" s="16" t="str">
        <x:v>Түсім / ай</x:v>
      </x:c>
      <x:c r="E30" s="16" t="str">
        <x:v>OPEX / ай</x:v>
      </x:c>
      <x:c r="F30" s="16" t="str">
        <x:v>Нәтиже / ай</x:v>
      </x:c>
      <x:c r="G30" s="16" t="str">
        <x:v>Өзіндік құн / MAU</x:v>
      </x:c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3" customHeight="1">
      <x:c r="C31" s="3" t="n">
        <x:v>100</x:v>
      </x:c>
      <x:c r="D31" s="10" t="n">
        <x:f>C31*$D$7</x:f>
        <x:v>6000</x:v>
      </x:c>
      <x:c r="E31" s="10" t="n">
        <x:f>$D$6+C31*$D$8</x:f>
        <x:v>93469.86666666668</x:v>
      </x:c>
      <x:c r="F31" s="10" t="n">
        <x:f>D31-E31</x:f>
        <x:v>-87469.86666666668</x:v>
      </x:c>
      <x:c r="G31" s="10" t="n">
        <x:f>E31/C31</x:f>
        <x:v>934.6986666666668</x:v>
      </x:c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3" customHeight="1">
      <x:c r="C32" s="3" t="n">
        <x:v>500</x:v>
      </x:c>
      <x:c r="D32" s="10" t="n">
        <x:f>C32*$D$7</x:f>
        <x:v>30000</x:v>
      </x:c>
      <x:c r="E32" s="10" t="n">
        <x:f>$D$6+C32*$D$8</x:f>
        <x:v>96669.86666666668</x:v>
      </x:c>
      <x:c r="F32" s="10" t="n">
        <x:f>D32-E32</x:f>
        <x:v>-66669.86666666668</x:v>
      </x:c>
      <x:c r="G32" s="10" t="n">
        <x:f>E32/C32</x:f>
        <x:v>193.33973333333336</x:v>
      </x:c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3" customHeight="1">
      <x:c r="C33" s="3" t="n">
        <x:v>1000</x:v>
      </x:c>
      <x:c r="D33" s="10" t="n">
        <x:f>C33*$D$7</x:f>
        <x:v>60000</x:v>
      </x:c>
      <x:c r="E33" s="10" t="n">
        <x:f>$D$6+C33*$D$8</x:f>
        <x:v>100669.86666666668</x:v>
      </x:c>
      <x:c r="F33" s="10" t="n">
        <x:f>D33-E33</x:f>
        <x:v>-40669.86666666668</x:v>
      </x:c>
      <x:c r="G33" s="10" t="n">
        <x:f>E33/C33</x:f>
        <x:v>100.66986666666668</x:v>
      </x:c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3" customHeight="1">
      <x:c r="C34" s="3" t="n">
        <x:v>1500</x:v>
      </x:c>
      <x:c r="D34" s="10" t="n">
        <x:f>C34*$D$7</x:f>
        <x:v>90000</x:v>
      </x:c>
      <x:c r="E34" s="10" t="n">
        <x:f>$D$6+C34*$D$8</x:f>
        <x:v>104669.86666666668</x:v>
      </x:c>
      <x:c r="F34" s="10" t="n">
        <x:f>D34-E34</x:f>
        <x:v>-14669.866666666683</x:v>
      </x:c>
      <x:c r="G34" s="10" t="n">
        <x:f>E34/C34</x:f>
        <x:v>69.77991111111112</x:v>
      </x:c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3" customHeight="1">
      <x:c r="C35" s="3" t="n">
        <x:v>2000</x:v>
      </x:c>
      <x:c r="D35" s="10" t="n">
        <x:f>C35*$D$7</x:f>
        <x:v>120000</x:v>
      </x:c>
      <x:c r="E35" s="10" t="n">
        <x:f>$D$6+C35*$D$8</x:f>
        <x:v>108669.86666666668</x:v>
      </x:c>
      <x:c r="F35" s="10" t="n">
        <x:f>D35-E35</x:f>
        <x:v>11330.133333333317</x:v>
      </x:c>
      <x:c r="G35" s="10" t="n">
        <x:f>E35/C35</x:f>
        <x:v>54.33493333333334</x:v>
      </x:c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3" customHeight="1">
      <x:c r="C36" s="3" t="n">
        <x:v>2500</x:v>
      </x:c>
      <x:c r="D36" s="10" t="n">
        <x:f>C36*$D$7</x:f>
        <x:v>150000</x:v>
      </x:c>
      <x:c r="E36" s="10" t="n">
        <x:f>$D$6+C36*$D$8</x:f>
        <x:v>112669.86666666668</x:v>
      </x:c>
      <x:c r="F36" s="10" t="n">
        <x:f>D36-E36</x:f>
        <x:v>37330.13333333332</x:v>
      </x:c>
      <x:c r="G36" s="10" t="n">
        <x:f>E36/C36</x:f>
        <x:v>45.06794666666667</x:v>
      </x:c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3" customHeight="1">
      <x:c r="C37" s="3" t="n">
        <x:v>3000</x:v>
      </x:c>
      <x:c r="D37" s="10" t="n">
        <x:f>C37*$D$7</x:f>
        <x:v>180000</x:v>
      </x:c>
      <x:c r="E37" s="10" t="n">
        <x:f>$D$6+C37*$D$8</x:f>
        <x:v>116669.86666666668</x:v>
      </x:c>
      <x:c r="F37" s="10" t="n">
        <x:f>D37-E37</x:f>
        <x:v>63330.13333333332</x:v>
      </x:c>
      <x:c r="G37" s="10" t="n">
        <x:f>E37/C37</x:f>
        <x:v>38.88995555555556</x:v>
      </x:c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3" customHeight="1"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3" customHeight="1"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3" customHeight="1">
      <x:c r="C40" s="3" t="str">
        <x:v>Бұл қаржы моделі. Қолмен өңдеу үнемі нақты түсімге қосылмайды. Бірлескен сапар екі рет саналмайды.</x:v>
      </x:c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3" customHeight="1"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3" customHeight="1"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3" customHeight="1"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3" customHeight="1"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3" customHeight="1"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3" customHeight="1"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3" customHeight="1"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3" customHeight="1"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3" customHeight="1"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3" customHeight="1"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3" customHeight="1"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3" customHeight="1"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Орналастырудың 36 айлық толық экономикалық құны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Бап</x:v>
      </x:c>
      <x:c r="D4" s="8" t="str">
        <x:v>Public cloud</x:v>
      </x:c>
      <x:c r="E4" s="8" t="str">
        <x:v>Жеке сервер</x:v>
      </x:c>
      <x:c r="F4" s="8" t="str">
        <x:v>Ашық стек VPS</x:v>
      </x:c>
      <x:c r="G4" s="8" t="str">
        <x:v>ENU сервері</x:v>
      </x:c>
      <x:c r="H4" s="3"/>
      <x:c r="I4" s="3"/>
      <x:c r="J4" s="3"/>
      <x:c r="K4" s="3"/>
      <x:c r="L4" s="3"/>
      <x:c r="M4" s="3"/>
      <x:c r="N4" s="3"/>
      <x:c r="O4" s="3"/>
      <x:c r="P4" s="3"/>
    </x:row>
    <x:row r="5" ht="23" customHeight="1">
      <x:c r="C5" s="3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3" customHeight="1">
      <x:c r="C6" s="3" t="str">
        <x:v>Ортақ әзірлеу</x:v>
      </x:c>
      <x:c r="D6" s="24" t="n">
        <x:f>SUM('Бюджет'!P15)</x:f>
        <x:v>648292.98</x:v>
      </x:c>
      <x:c r="E6" s="24" t="n">
        <x:f>SUM('Бюджет'!P15)</x:f>
        <x:v>648292.98</x:v>
      </x:c>
      <x:c r="F6" s="24" t="n">
        <x:f>SUM('Бюджет'!P15)</x:f>
        <x:v>648292.98</x:v>
      </x:c>
      <x:c r="G6" s="24" t="n">
        <x:f>SUM('Бюджет'!P15)</x:f>
        <x:v>648292.98</x:v>
      </x:c>
      <x:c r="H6" s="4"/>
      <x:c r="I6" s="4"/>
      <x:c r="J6" s="4"/>
      <x:c r="K6" s="4"/>
      <x:c r="L6" s="4"/>
      <x:c r="M6" s="4"/>
      <x:c r="N6" s="4"/>
      <x:c r="O6" s="4"/>
      <x:c r="P6" s="4"/>
    </x:row>
    <x:row r="7" ht="23" customHeight="1">
      <x:c r="C7" s="3" t="str">
        <x:v>Өндірістік баптау</x:v>
      </x:c>
      <x:c r="D7" s="24" t="n">
        <x:f>'Болжамдар'!D47*'Болжамдар'!D11</x:f>
        <x:v>42553.8</x:v>
      </x:c>
      <x:c r="E7" s="24" t="n">
        <x:f>'Болжамдар'!D49*'Болжамдар'!D11</x:f>
        <x:v>127661.40000000001</x:v>
      </x:c>
      <x:c r="F7" s="24" t="n">
        <x:f>'Болжамдар'!D48*'Болжамдар'!D11</x:f>
        <x:v>85107.6</x:v>
      </x:c>
      <x:c r="G7" s="24" t="n">
        <x:f>'Болжамдар'!D50*'Болжамдар'!D11</x:f>
        <x:v>106384.5</x:v>
      </x:c>
      <x:c r="H7" s="4"/>
      <x:c r="I7" s="4"/>
      <x:c r="J7" s="4"/>
      <x:c r="K7" s="4"/>
      <x:c r="L7" s="4"/>
      <x:c r="M7" s="4"/>
      <x:c r="N7" s="4"/>
      <x:c r="O7" s="4"/>
      <x:c r="P7" s="4"/>
    </x:row>
    <x:row r="8" ht="23" customHeight="1">
      <x:c r="C8" s="3" t="str">
        <x:v>Сервер және жабдық сатып алу</x:v>
      </x:c>
      <x:c r="D8" s="10" t="n">
        <x:f>0</x:f>
        <x:v>0</x:v>
      </x:c>
      <x:c r="E8" s="24" t="n">
        <x:f>SUM('Болжамдар'!D34:D36)</x:f>
        <x:v>2120000</x:v>
      </x:c>
      <x:c r="F8" s="10" t="n">
        <x:f>0</x:f>
        <x:v>0</x:v>
      </x:c>
      <x:c r="G8" s="10" t="n">
        <x:f>0</x:f>
        <x:v>0</x:v>
      </x:c>
      <x:c r="H8" s="4"/>
      <x:c r="I8" s="4"/>
      <x:c r="J8" s="4"/>
      <x:c r="K8" s="4"/>
      <x:c r="L8" s="4"/>
      <x:c r="M8" s="4"/>
      <x:c r="N8" s="4"/>
      <x:c r="O8" s="4"/>
      <x:c r="P8" s="4"/>
    </x:row>
    <x:row r="9" ht="23" customHeight="1">
      <x:c r="C9" s="3" t="str">
        <x:v>Инфрақұрылым / ай</x:v>
      </x:c>
      <x:c r="D9" s="24" t="n">
        <x:f>('Болжамдар'!D24*'Болжамдар'!D27+'Болжамдар'!D25*'Болжамдар'!D28+'Болжамдар'!D26*'Болжамдар'!D29)*(1+'Болжамдар'!D30)</x:f>
        <x:v>51040</x:v>
      </x:c>
      <x:c r="E9" s="24" t="n">
        <x:f>'Болжамдар'!D37*'Болжамдар'!D38*'Болжамдар'!D39*'Болжамдар'!D40+'Болжамдар'!D41</x:f>
        <x:v>17391.25</x:v>
      </x:c>
      <x:c r="F9" s="24" t="n">
        <x:f>'Болжамдар'!D21*'Болжамдар'!D22</x:f>
        <x:v>23040</x:v>
      </x:c>
      <x:c r="G9" s="24" t="n">
        <x:f>'Болжамдар'!D43</x:f>
        <x:v>8000</x:v>
      </x:c>
      <x:c r="H9" s="4"/>
      <x:c r="I9" s="4"/>
      <x:c r="J9" s="4"/>
      <x:c r="K9" s="4"/>
      <x:c r="L9" s="4"/>
      <x:c r="M9" s="4"/>
      <x:c r="N9" s="4"/>
      <x:c r="O9" s="4"/>
      <x:c r="P9" s="4"/>
    </x:row>
    <x:row r="10" ht="23" customHeight="1">
      <x:c r="C10" s="3" t="str">
        <x:v>Backup / ай</x:v>
      </x:c>
      <x:c r="D10" s="24" t="n">
        <x:f>'Болжамдар'!D23</x:f>
        <x:v>5000</x:v>
      </x:c>
      <x:c r="E10" s="24" t="n">
        <x:f>'Болжамдар'!D23</x:f>
        <x:v>5000</x:v>
      </x:c>
      <x:c r="F10" s="24" t="n">
        <x:f>'Болжамдар'!D23</x:f>
        <x:v>5000</x:v>
      </x:c>
      <x:c r="G10" s="24" t="n">
        <x:f>'Болжамдар'!D23</x:f>
        <x:v>5000</x:v>
      </x:c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23" customHeight="1">
      <x:c r="C11" s="3" t="str">
        <x:v>Қолдау / ай</x:v>
      </x:c>
      <x:c r="D11" s="24" t="n">
        <x:f>'Болжамдар'!D31*'Болжамдар'!D11</x:f>
        <x:v>31915.350000000002</x:v>
      </x:c>
      <x:c r="E11" s="24" t="n">
        <x:f>'Болжамдар'!D32*'Болжамдар'!D11</x:f>
        <x:v>63830.700000000004</x:v>
      </x:c>
      <x:c r="F11" s="24" t="n">
        <x:f>'Болжамдар'!D15*'Болжамдар'!D11</x:f>
        <x:v>42553.8</x:v>
      </x:c>
      <x:c r="G11" s="24" t="n">
        <x:f>'Болжамдар'!D33*'Болжамдар'!D11</x:f>
        <x:v>53192.25</x:v>
      </x:c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23" customHeight="1">
      <x:c r="C12" s="3" t="str">
        <x:v>Дамыту / ай</x:v>
      </x:c>
      <x:c r="D12" s="24" t="n">
        <x:f>'Болжамдар'!D16*'Болжамдар'!D11</x:f>
        <x:v>21276.9</x:v>
      </x:c>
      <x:c r="E12" s="24" t="n">
        <x:f>'Болжамдар'!D16*'Болжамдар'!D11</x:f>
        <x:v>21276.9</x:v>
      </x:c>
      <x:c r="F12" s="24" t="n">
        <x:f>'Болжамдар'!D16*'Болжамдар'!D11</x:f>
        <x:v>21276.9</x:v>
      </x:c>
      <x:c r="G12" s="24" t="n">
        <x:f>'Болжамдар'!D16*'Болжамдар'!D11</x:f>
        <x:v>21276.9</x:v>
      </x:c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3" customHeight="1">
      <x:c r="C13" s="3" t="str">
        <x:v>Айнымалы шығын / ай</x:v>
      </x:c>
      <x:c r="D13" s="24" t="n">
        <x:f>'Болжамдар'!D51*'Болжамдар'!D17</x:f>
        <x:v>8000</x:v>
      </x:c>
      <x:c r="E13" s="24" t="n">
        <x:f>'Болжамдар'!D51*'Болжамдар'!D17</x:f>
        <x:v>8000</x:v>
      </x:c>
      <x:c r="F13" s="24" t="n">
        <x:f>'Болжамдар'!D51*'Болжамдар'!D17</x:f>
        <x:v>8000</x:v>
      </x:c>
      <x:c r="G13" s="24" t="n">
        <x:f>'Болжамдар'!D51*'Болжамдар'!D17</x:f>
        <x:v>8000</x:v>
      </x:c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23" customHeight="1">
      <x:c r="C14" s="3" t="str">
        <x:v>Домен / жыл</x:v>
      </x:c>
      <x:c r="D14" s="24" t="n">
        <x:f>'Болжамдар'!D20</x:f>
        <x:v>9590</x:v>
      </x:c>
      <x:c r="E14" s="24" t="n">
        <x:f>'Болжамдар'!D20</x:f>
        <x:v>9590</x:v>
      </x:c>
      <x:c r="F14" s="24" t="n">
        <x:f>'Болжамдар'!D20</x:f>
        <x:v>9590</x:v>
      </x:c>
      <x:c r="G14" s="24" t="n">
        <x:f>'Болжамдар'!D20</x:f>
        <x:v>9590</x:v>
      </x:c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23" customHeight="1">
      <x:c r="C15" s="3" t="str">
        <x:v>Жөндеу қоры / жыл</x:v>
      </x:c>
      <x:c r="D15" s="10" t="n">
        <x:f>0</x:f>
        <x:v>0</x:v>
      </x:c>
      <x:c r="E15" s="24" t="n">
        <x:f>'Болжамдар'!D42</x:f>
        <x:v>60000</x:v>
      </x:c>
      <x:c r="F15" s="10" t="n">
        <x:f>0</x:f>
        <x:v>0</x:v>
      </x:c>
      <x:c r="G15" s="10" t="n">
        <x:f>0</x:f>
        <x:v>0</x:v>
      </x:c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23" customHeight="1">
      <x:c r="C16" s="3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23" customHeight="1">
      <x:c r="C17" s="3" t="str">
        <x:v>Бастапқы біржолғы шығын</x:v>
      </x:c>
      <x:c r="D17" s="10" t="n">
        <x:f>SUM(D6:D8)</x:f>
        <x:v>690846.78</x:v>
      </x:c>
      <x:c r="E17" s="10" t="n">
        <x:f>SUM(E6:E8)</x:f>
        <x:v>2895954.38</x:v>
      </x:c>
      <x:c r="F17" s="10" t="n">
        <x:f>SUM(F6:F8)</x:f>
        <x:v>733400.58</x:v>
      </x:c>
      <x:c r="G17" s="10" t="n">
        <x:f>SUM(G6:G8)</x:f>
        <x:v>754677.48</x:v>
      </x:c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23" customHeight="1">
      <x:c r="C18" s="3" t="str">
        <x:v>1 жыл пайдалану</x:v>
      </x:c>
      <x:c r="D18" s="10" t="n">
        <x:f>SUM(D9:D13)*12+SUM(D14:D15)</x:f>
        <x:v>1416377</x:v>
      </x:c>
      <x:c r="E18" s="10" t="n">
        <x:f>SUM(E9:E13)*12+SUM(E14:E15)</x:f>
        <x:v>1455576.2000000002</x:v>
      </x:c>
      <x:c r="F18" s="10" t="n">
        <x:f>SUM(F9:F13)*12+SUM(F14:F15)</x:f>
        <x:v>1208038.4000000001</x:v>
      </x:c>
      <x:c r="G18" s="10" t="n">
        <x:f>SUM(G9:G13)*12+SUM(G14:G15)</x:f>
        <x:v>1155219.7999999998</x:v>
      </x:c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23" customHeight="1">
      <x:c r="C19" s="3" t="str">
        <x:v>2 жыл пайдалану</x:v>
      </x:c>
      <x:c r="D19" s="10" t="n">
        <x:f>SUM(D9:D13)*12+SUM(D14:D15)</x:f>
        <x:v>1416377</x:v>
      </x:c>
      <x:c r="E19" s="10" t="n">
        <x:f>SUM(E9:E13)*12+SUM(E14:E15)</x:f>
        <x:v>1455576.2000000002</x:v>
      </x:c>
      <x:c r="F19" s="10" t="n">
        <x:f>SUM(F9:F13)*12+SUM(F14:F15)</x:f>
        <x:v>1208038.4000000001</x:v>
      </x:c>
      <x:c r="G19" s="10" t="n">
        <x:f>SUM(G9:G13)*12+SUM(G14:G15)</x:f>
        <x:v>1155219.7999999998</x:v>
      </x:c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3" customHeight="1">
      <x:c r="C20" s="3" t="str">
        <x:v>3 жыл пайдалану</x:v>
      </x:c>
      <x:c r="D20" s="10" t="n">
        <x:f>SUM(D9:D13)*12+SUM(D14:D15)</x:f>
        <x:v>1416377</x:v>
      </x:c>
      <x:c r="E20" s="10" t="n">
        <x:f>SUM(E9:E13)*12+SUM(E14:E15)</x:f>
        <x:v>1455576.2000000002</x:v>
      </x:c>
      <x:c r="F20" s="10" t="n">
        <x:f>SUM(F9:F13)*12+SUM(F14:F15)</x:f>
        <x:v>1208038.4000000001</x:v>
      </x:c>
      <x:c r="G20" s="10" t="n">
        <x:f>SUM(G9:G13)*12+SUM(G14:G15)</x:f>
        <x:v>1155219.7999999998</x:v>
      </x:c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3" customHeight="1">
      <x:c r="C21" s="31" t="str">
        <x:v>TCO 36 ай</x:v>
      </x:c>
      <x:c r="D21" s="33" t="n">
        <x:f>SUM(D17:D20)</x:f>
        <x:v>4939977.78</x:v>
      </x:c>
      <x:c r="E21" s="33" t="n">
        <x:f>SUM(E17:E20)</x:f>
        <x:v>7262682.98</x:v>
      </x:c>
      <x:c r="F21" s="33" t="n">
        <x:f>SUM(F17:F20)</x:f>
        <x:v>4357515.78</x:v>
      </x:c>
      <x:c r="G21" s="33" t="n">
        <x:f>SUM(G17:G20)</x:f>
        <x:v>4220336.879999999</x:v>
      </x:c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3" customHeight="1">
      <x:c r="C22" s="3" t="str">
        <x:v>Айына теңестірілген TCO</x:v>
      </x:c>
      <x:c r="D22" s="10" t="n">
        <x:f>D21/36</x:f>
        <x:v>137221.605</x:v>
      </x:c>
      <x:c r="E22" s="10" t="n">
        <x:f>E21/36</x:f>
        <x:v>201741.1938888889</x:v>
      </x:c>
      <x:c r="F22" s="10" t="n">
        <x:f>F21/36</x:f>
        <x:v>121042.10500000001</x:v>
      </x:c>
      <x:c r="G22" s="10" t="n">
        <x:f>G21/36</x:f>
        <x:v>117231.57999999997</x:v>
      </x:c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3" customHeight="1"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3" customHeight="1">
      <x:c r="C24" s="3" t="str">
        <x:v>Шартты бөлінген vCPU</x:v>
      </x:c>
      <x:c r="D24" s="24" t="n">
        <x:f>'Болжамдар'!D27</x:f>
        <x:v>4</x:v>
      </x:c>
      <x:c r="E24" s="24" t="n">
        <x:f>'Болжамдар'!D27</x:f>
        <x:v>4</x:v>
      </x:c>
      <x:c r="F24" s="24" t="n">
        <x:f>'Болжамдар'!D27</x:f>
        <x:v>4</x:v>
      </x:c>
      <x:c r="G24" s="24" t="n">
        <x:f>'Болжамдар'!D27</x:f>
        <x:v>4</x:v>
      </x:c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3" customHeight="1">
      <x:c r="C25" s="3" t="str">
        <x:v>Шартты бөлінген RAM GB</x:v>
      </x:c>
      <x:c r="D25" s="24" t="n">
        <x:f>'Болжамдар'!D28</x:f>
        <x:v>8</x:v>
      </x:c>
      <x:c r="E25" s="24" t="n">
        <x:f>'Болжамдар'!D28</x:f>
        <x:v>8</x:v>
      </x:c>
      <x:c r="F25" s="24" t="n">
        <x:f>'Болжамдар'!D28</x:f>
        <x:v>8</x:v>
      </x:c>
      <x:c r="G25" s="24" t="n">
        <x:f>'Болжамдар'!D28</x:f>
        <x:v>8</x:v>
      </x:c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3" customHeight="1">
      <x:c r="C26" s="3" t="str">
        <x:v>Шартты пайдалы NVMe GB</x:v>
      </x:c>
      <x:c r="D26" s="24" t="n">
        <x:f>'Болжамдар'!D29</x:f>
        <x:v>200</x:v>
      </x:c>
      <x:c r="E26" s="24" t="n">
        <x:f>'Болжамдар'!D29</x:f>
        <x:v>200</x:v>
      </x:c>
      <x:c r="F26" s="24" t="n">
        <x:f>'Болжамдар'!D29</x:f>
        <x:v>200</x:v>
      </x:c>
      <x:c r="G26" s="24" t="n">
        <x:f>'Болжамдар'!D29</x:f>
        <x:v>200</x:v>
      </x:c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3" customHeight="1"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3" customHeight="1"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3" customHeight="1">
      <x:c r="C29" s="3" t="str">
        <x:v>Жүктеме: 1000 MAU, 4 vCPU, 8 GB RAM, 200 GB, бір түйін. Жоғары қолжетімділік кластері емес.</x:v>
      </x:c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3" customHeight="1">
      <x:c r="C30" s="3" t="str">
        <x:v>ENU сервері — әдістемедегі қосымша нұсқа; ресурс пен қолжетімділік әлі бекітілмеген.</x:v>
      </x:c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3" customHeight="1">
      <x:c r="C31" s="3" t="str">
        <x:v>Құндар тұрақты, инфляция және дисконт жоқ. Жабдық қалдығы 0. Амортизация CAPEX-ке қайта қосылмайды.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3" customHeight="1">
      <x:c r="C32" s="3" t="str">
        <x:v>30 + 9 сағат резерв TCO шығыны емес. Жабдық бағасы мен ENU ресурс үлесі нақтылауды қажет етеді.</x:v>
      </x:c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3" customHeight="1"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3" customHeight="1"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3" customHeight="1"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3" customHeight="1"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3" customHeight="1"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3" customHeight="1"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3" customHeight="1"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3" customHeight="1"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3" customHeight="1"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3" customHeight="1"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3" customHeight="1"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3" customHeight="1"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3" customHeight="1"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3" customHeight="1"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3" customHeight="1"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3" customHeight="1"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3" customHeight="1"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3" customHeight="1"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3" customHeight="1"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3" customHeight="1"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 ht="23" customHeight="1">
      <x:c r="C2" s="5" t="str">
        <x:v>Пайдаланушы сценарийлерінің SLO SLA және қате бюджеті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3" customHeight="1"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2" customHeight="1">
      <x:c r="C4" s="8" t="str">
        <x:v>Сценарий</x:v>
      </x:c>
      <x:c r="D4" s="8" t="str">
        <x:v>SLO</x:v>
      </x:c>
      <x:c r="E4" s="8" t="str">
        <x:v>SLO шегі мс</x:v>
      </x:c>
      <x:c r="F4" s="8" t="str">
        <x:v>SLA</x:v>
      </x:c>
      <x:c r="G4" s="8" t="str">
        <x:v>SLA шегі мс</x:v>
      </x:c>
      <x:c r="H4" s="8" t="str">
        <x:v>Операция / ай</x:v>
      </x:c>
      <x:c r="I4" s="8" t="str">
        <x:v>SLO қате қоры</x:v>
      </x:c>
      <x:c r="J4" s="8" t="str">
        <x:v>SLA шегі</x:v>
      </x:c>
      <x:c r="K4" s="8" t="str">
        <x:v>Нақты қате мысалы</x:v>
      </x:c>
      <x:c r="L4" s="8" t="str">
        <x:v>SLO қор шығыны</x:v>
      </x:c>
      <x:c r="M4" s="3"/>
      <x:c r="N4" s="3"/>
      <x:c r="O4" s="3"/>
      <x:c r="P4" s="3"/>
    </x:row>
    <x:row r="5" ht="45" customHeight="1">
      <x:c r="C5" s="3" t="str">
        <x:v>Растау сілтемесінен кіру</x:v>
      </x:c>
      <x:c r="D5" s="34" t="n">
        <x:v>0.995</x:v>
      </x:c>
      <x:c r="E5" s="4" t="n">
        <x:v>3000</x:v>
      </x:c>
      <x:c r="F5" s="34" t="n">
        <x:v>0.99</x:v>
      </x:c>
      <x:c r="G5" s="4" t="n">
        <x:v>5000</x:v>
      </x:c>
      <x:c r="H5" s="4" t="n">
        <x:v>100000</x:v>
      </x:c>
      <x:c r="I5" s="10" t="n">
        <x:f>ROUNDDOWN(H5*(1-D5)+0.0000001,0)</x:f>
        <x:v>500</x:v>
      </x:c>
      <x:c r="J5" s="10" t="n">
        <x:f>ROUNDDOWN(H5*(1-F5)+0.0000001,0)</x:f>
        <x:v>1000</x:v>
      </x:c>
      <x:c r="K5" s="4" t="n">
        <x:v>200</x:v>
      </x:c>
      <x:c r="L5" s="35" t="n">
        <x:f>IF(I5=0,IF(K5=0,0,1),K5/I5)</x:f>
        <x:v>0.4</x:v>
      </x:c>
      <x:c r="M5" s="4"/>
      <x:c r="N5" s="4"/>
      <x:c r="O5" s="4"/>
      <x:c r="P5" s="4"/>
    </x:row>
    <x:row r="6" ht="45" customHeight="1">
      <x:c r="C6" s="3" t="str">
        <x:v>Сапар іздеу</x:v>
      </x:c>
      <x:c r="D6" s="34" t="n">
        <x:v>0.995</x:v>
      </x:c>
      <x:c r="E6" s="4" t="n">
        <x:v>800</x:v>
      </x:c>
      <x:c r="F6" s="34" t="n">
        <x:v>0.99</x:v>
      </x:c>
      <x:c r="G6" s="4" t="n">
        <x:v>1500</x:v>
      </x:c>
      <x:c r="H6" s="4" t="n">
        <x:v>200000</x:v>
      </x:c>
      <x:c r="I6" s="10" t="n">
        <x:f>ROUNDDOWN(H6*(1-D6)+0.0000001,0)</x:f>
        <x:v>1000</x:v>
      </x:c>
      <x:c r="J6" s="10" t="n">
        <x:f>ROUNDDOWN(H6*(1-F6)+0.0000001,0)</x:f>
        <x:v>2000</x:v>
      </x:c>
      <x:c r="K6" s="4" t="n">
        <x:v>400</x:v>
      </x:c>
      <x:c r="L6" s="35" t="n">
        <x:f>IF(I6=0,IF(K6=0,0,1),K6/I6)</x:f>
        <x:v>0.4</x:v>
      </x:c>
      <x:c r="M6" s="4"/>
      <x:c r="N6" s="4"/>
      <x:c r="O6" s="4"/>
      <x:c r="P6" s="4"/>
    </x:row>
    <x:row r="7" ht="45" customHeight="1">
      <x:c r="C7" s="3" t="str">
        <x:v>Орынға қосылу</x:v>
      </x:c>
      <x:c r="D7" s="34" t="n">
        <x:v>0.999</x:v>
      </x:c>
      <x:c r="E7" s="4" t="n">
        <x:v>2000</x:v>
      </x:c>
      <x:c r="F7" s="34" t="n">
        <x:v>0.995</x:v>
      </x:c>
      <x:c r="G7" s="4" t="n">
        <x:v>3000</x:v>
      </x:c>
      <x:c r="H7" s="4" t="n">
        <x:v>20000</x:v>
      </x:c>
      <x:c r="I7" s="10" t="n">
        <x:f>ROUNDDOWN(H7*(1-D7)+0.0000001,0)</x:f>
        <x:v>20</x:v>
      </x:c>
      <x:c r="J7" s="10" t="n">
        <x:f>ROUNDDOWN(H7*(1-F7)+0.0000001,0)</x:f>
        <x:v>100</x:v>
      </x:c>
      <x:c r="K7" s="4" t="n">
        <x:v>5</x:v>
      </x:c>
      <x:c r="L7" s="35" t="n">
        <x:f>IF(I7=0,IF(K7=0,0,1),K7/I7)</x:f>
        <x:v>0.25</x:v>
      </x:c>
      <x:c r="M7" s="4"/>
      <x:c r="N7" s="4"/>
      <x:c r="O7" s="4"/>
      <x:c r="P7" s="4"/>
    </x:row>
    <x:row r="8" ht="23" customHeight="1">
      <x:c r="C8" s="3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23" customHeight="1">
      <x:c r="C9" s="3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ht="23" customHeight="1">
      <x:c r="C10" s="3" t="str">
        <x:v>Нақты қате бағаны — тек есептеу мысалы. Өндірістік өлшем жоқ.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ht="23" customHeight="1">
      <x:c r="C11" s="3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ht="23" customHeight="1">
      <x:c r="C12" s="3" t="str">
        <x:v>SLI = мерзімінде дұрыс аяқталған жарамды операция / барлық жарамды операция.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ht="23" customHeight="1"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ht="23" customHeight="1">
      <x:c r="C14" s="3" t="str">
        <x:v>Қордың 50%: тәуекелді релизді тоқтату. 100%: тек қалпына келтіру және қауіпсіздік түзетулері.</x:v>
      </x:c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ht="23" customHeight="1">
      <x:c r="C15" s="3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ht="23" customHeight="1">
      <x:c r="C16" s="3" t="str">
        <x:v>Ай сайын күнтізбелік 24×7 терезе. Қате қоры операциямен есептеледі, минутқа айналдырылмайды.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</x:row>
    <x:row r="17" ht="23" customHeight="1">
      <x:c r="C17" s="3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</x:row>
    <x:row r="18" ht="23" customHeight="1">
      <x:c r="C18" s="3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</x:row>
    <x:row r="19" ht="23" customHeight="1">
      <x:c r="C19" s="3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</x:row>
    <x:row r="20" ht="23" customHeight="1">
      <x:c r="C20" s="3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</x:row>
    <x:row r="21" ht="23" customHeight="1">
      <x:c r="C21" s="3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</x:row>
    <x:row r="22" ht="23" customHeight="1">
      <x:c r="C22" s="3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</x:row>
    <x:row r="23" ht="23" customHeight="1">
      <x:c r="C23" s="3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</x:row>
    <x:row r="24" ht="23" customHeight="1">
      <x:c r="C24" s="3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</x:row>
    <x:row r="25" ht="23" customHeight="1">
      <x:c r="C25" s="3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</x:row>
    <x:row r="26" ht="23" customHeight="1">
      <x:c r="C26" s="3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</x:row>
    <x:row r="27" ht="23" customHeight="1">
      <x:c r="C27" s="3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</x:row>
    <x:row r="28" ht="23" customHeight="1">
      <x:c r="C28" s="3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</x:row>
    <x:row r="29" ht="23" customHeight="1">
      <x:c r="C29" s="3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</x:row>
    <x:row r="30" ht="23" customHeight="1">
      <x:c r="C30" s="3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</x:row>
    <x:row r="31" ht="23" customHeight="1">
      <x:c r="C31" s="3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</x:row>
    <x:row r="32" ht="23" customHeight="1">
      <x:c r="C32" s="3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</x:row>
    <x:row r="33" ht="23" customHeight="1">
      <x:c r="C33" s="3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</x:row>
    <x:row r="34" ht="23" customHeight="1">
      <x:c r="C34" s="3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</x:row>
    <x:row r="35" ht="23" customHeight="1">
      <x:c r="C35" s="3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</x:row>
    <x:row r="36" ht="23" customHeight="1">
      <x:c r="C36" s="3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</x:row>
    <x:row r="37" ht="23" customHeight="1">
      <x:c r="C37" s="3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</x:row>
    <x:row r="38" ht="23" customHeight="1">
      <x:c r="C38" s="3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</x:row>
    <x:row r="39" ht="23" customHeight="1">
      <x:c r="C39" s="3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</x:row>
    <x:row r="40" ht="23" customHeight="1">
      <x:c r="C40" s="3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</x:row>
    <x:row r="41" ht="23" customHeight="1">
      <x:c r="C41" s="3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</x:row>
    <x:row r="42" ht="23" customHeight="1">
      <x:c r="C42" s="3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</x:row>
    <x:row r="43" ht="23" customHeight="1">
      <x:c r="C43" s="3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</x:row>
    <x:row r="44" ht="23" customHeight="1">
      <x:c r="C44" s="3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</x:row>
    <x:row r="45" ht="23" customHeight="1">
      <x:c r="C45" s="3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</x:row>
    <x:row r="46" ht="23" customHeight="1">
      <x:c r="C46" s="3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</x:row>
    <x:row r="47" ht="23" customHeight="1">
      <x:c r="C47" s="3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</x:row>
    <x:row r="48" ht="23" customHeight="1">
      <x:c r="C48" s="3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</x:row>
    <x:row r="49" ht="23" customHeight="1">
      <x:c r="C49" s="3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</x:row>
    <x:row r="50" ht="23" customHeight="1">
      <x:c r="C50" s="3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</x:row>
    <x:row r="51" ht="23" customHeight="1">
      <x:c r="C51" s="3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</x:row>
    <x:row r="52" ht="23" customHeight="1">
      <x:c r="C52" s="3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</x:row>
    <x:row r="53" ht="23" customHeight="1">
      <x:c r="C53" s="3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</x:row>
    <x:row r="54" ht="23" customHeight="1">
      <x:c r="C54" s="3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</x:row>
    <x:row r="55" ht="23" customHeight="1">
      <x:c r="C55" s="3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</x:row>
    <x:row r="56" ht="23" customHeight="1">
      <x:c r="C56" s="3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</x:row>
    <x:row r="57" ht="23" customHeight="1">
      <x:c r="C57" s="3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</x:row>
    <x:row r="58" ht="23" customHeight="1">
      <x:c r="C58" s="3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  <x:row r="59" ht="23" customHeight="1">
      <x:c r="C59" s="3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0" ht="23" customHeight="1">
      <x:c r="C60" s="3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</x:row>
    <x:row r="61" ht="23" customHeight="1">
      <x:c r="C61" s="3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</x:row>
    <x:row r="62" ht="23" customHeight="1">
      <x:c r="C62" s="3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</x:row>
    <x:row r="63" ht="23" customHeight="1">
      <x:c r="C63" s="3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</x:row>
    <x:row r="64" ht="23" customHeight="1">
      <x:c r="C64" s="3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</x:row>
    <x:row r="65" ht="23" customHeight="1">
      <x:c r="C65" s="3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</x:row>
    <x:row r="66" ht="23" customHeight="1">
      <x:c r="C66" s="3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</x:row>
    <x:row r="67" ht="23" customHeight="1">
      <x:c r="C67" s="3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</x:row>
    <x:row r="68" ht="23" customHeight="1">
      <x:c r="C68" s="3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</x:row>
    <x:row r="69" ht="23" customHeight="1">
      <x:c r="C69" s="3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</x:row>
    <x:row r="70" ht="23" customHeight="1">
      <x:c r="C70" s="3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</x:row>
    <x:row r="71" ht="23" customHeight="1">
      <x:c r="C71" s="3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</x:row>
    <x:row r="72" ht="23" customHeight="1">
      <x:c r="C72" s="3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</x:row>
    <x:row r="73" ht="23" customHeight="1">
      <x:c r="C73" s="3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</x:row>
    <x:row r="74" ht="23" customHeight="1">
      <x:c r="C74" s="3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</x:row>
    <x:row r="75" ht="23" customHeight="1">
      <x:c r="C75" s="3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</x:row>
    <x:row r="76" ht="23" customHeight="1">
      <x:c r="C76" s="3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</x:row>
    <x:row r="77" ht="23" customHeight="1">
      <x:c r="C77" s="3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</x:row>
    <x:row r="78" ht="23" customHeight="1">
      <x:c r="C78" s="3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</x:row>
    <x:row r="79" ht="23" customHeight="1">
      <x:c r="C79" s="3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</x:row>
    <x:row r="80" ht="23" customHeight="1">
      <x:c r="C80" s="3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</x:row>
    <x:row r="81" ht="23" customHeight="1">
      <x:c r="C81" s="3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</x:row>
    <x:row r="82" ht="23" customHeight="1">
      <x:c r="C82" s="3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</x:row>
    <x:row r="83" ht="23" customHeight="1">
      <x:c r="C83" s="3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</x:row>
    <x:row r="84" ht="23" customHeight="1">
      <x:c r="C84" s="3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</x:row>
    <x:row r="85" ht="23" customHeight="1">
      <x:c r="C85" s="3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</x:row>
    <x:row r="86" ht="23" customHeight="1">
      <x:c r="C86" s="3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</x:row>
    <x:row r="87" ht="23" customHeight="1">
      <x:c r="C87" s="3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</x:row>
    <x:row r="88" ht="23" customHeight="1">
      <x:c r="C88" s="3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</x:row>
    <x:row r="89" ht="23" customHeight="1">
      <x:c r="C89" s="3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</x:row>
    <x:row r="90" ht="23" customHeight="1">
      <x:c r="C90" s="3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</x:row>
  </x:sheetData>
  <x:pageMargins left="0.7" right="0.7" top="0.75" bottom="0.75" header="0.3" footer="0.3"/>
</x:worksheet>
</file>